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ate1904="1" updateLinks="never" codeName="ThisWorkbook" defaultThemeVersion="124226"/>
  <mc:AlternateContent xmlns:mc="http://schemas.openxmlformats.org/markup-compatibility/2006">
    <mc:Choice Requires="x15">
      <x15ac:absPath xmlns:x15ac="http://schemas.microsoft.com/office/spreadsheetml/2010/11/ac" url="C:\Users\payal\Downloads\"/>
    </mc:Choice>
  </mc:AlternateContent>
  <xr:revisionPtr revIDLastSave="0" documentId="13_ncr:1_{1844DEA6-C6DE-4B4B-B55E-0975A2842C74}" xr6:coauthVersionLast="47" xr6:coauthVersionMax="47" xr10:uidLastSave="{00000000-0000-0000-0000-000000000000}"/>
  <bookViews>
    <workbookView xWindow="-108" yWindow="-108" windowWidth="23256" windowHeight="12456" firstSheet="1" activeTab="5" xr2:uid="{00000000-000D-0000-FFFF-FFFF00000000}"/>
  </bookViews>
  <sheets>
    <sheet name="Home" sheetId="1" r:id="rId1"/>
    <sheet name="Array Functions" sheetId="2" r:id="rId2"/>
    <sheet name="Database Functions" sheetId="3" r:id="rId3"/>
    <sheet name="Year,Month&amp;Day" sheetId="4" r:id="rId4"/>
    <sheet name="Hour,Minute and Second" sheetId="5" r:id="rId5"/>
    <sheet name="Date &amp; Time" sheetId="6" r:id="rId6"/>
    <sheet name="Weekday" sheetId="7" r:id="rId7"/>
    <sheet name="WeekNum" sheetId="8" r:id="rId8"/>
    <sheet name="Networkdays" sheetId="9" r:id="rId9"/>
    <sheet name="Today &amp; Now" sheetId="10" r:id="rId10"/>
    <sheet name="Validation" sheetId="13" r:id="rId11"/>
    <sheet name="Working" sheetId="12" r:id="rId12"/>
  </sheets>
  <externalReferences>
    <externalReference r:id="rId13"/>
    <externalReference r:id="rId14"/>
  </externalReferences>
  <definedNames>
    <definedName name="_xlnm._FilterDatabase" localSheetId="2" hidden="1">'Database Functions'!$A$218:$E$225</definedName>
    <definedName name="_xlnm._FilterDatabase" localSheetId="11" hidden="1">Working!$AW$1:$BA$800</definedName>
    <definedName name="List2">[1]!List1</definedName>
    <definedName name="Not_Specified">INDIRECT("Working!$Fa$2:$EW$"&amp;COUNTA(Working!#REF!))</definedName>
    <definedName name="Ord_Priority">INDIRECT("Working!$EW$2:$EW$"&amp;COUNTA(Working!#REF!))</definedName>
    <definedName name="OrdPriority">Working!#REF!</definedName>
    <definedName name="PolStatus">Working!#REF!</definedName>
    <definedName name="Sales_Amt">INDIRECT("Working!$EY$2:$EY$"&amp;COUNTA(Working!#REF!))</definedName>
    <definedName name="SalesAmt">Working!#REF!</definedName>
    <definedName name="Shp_Mode">INDIRECT("Working!$FA$2:$FA$"&amp;COUNTA(Working!#REF!))</definedName>
    <definedName name="ShpMode">Working!#REF!</definedName>
    <definedName name="SumList">'Database Functions'!#REF!</definedName>
    <definedName name="SumRAnge">'Database Functions'!#REF!</definedName>
    <definedName name="SumRange1">Working!#REF!</definedName>
    <definedName name="SumRng">'[2]Name Manager'!$A$57:$A$63</definedName>
    <definedName name="Z_A27D5E1E_B06B_4AE2_9D20_CB87A5C74206_.wvu.Cols" localSheetId="0" hidden="1">Home!$Q:$XFD</definedName>
    <definedName name="Z_A27D5E1E_B06B_4AE2_9D20_CB87A5C74206_.wvu.Cols" localSheetId="11" hidden="1">Working!#REF!</definedName>
    <definedName name="Z_A27D5E1E_B06B_4AE2_9D20_CB87A5C74206_.wvu.Rows" localSheetId="0" hidden="1">Home!$29:$1048576,Home!#REF!</definedName>
  </definedNames>
  <calcPr calcId="191029"/>
  <customWorkbookViews>
    <customWorkbookView name="Rohit Gupta - Personal View" guid="{A27D5E1E-B06B-4AE2-9D20-CB87A5C74206}" mergeInterval="0" personalView="1" maximized="1" xWindow="1" yWindow="1" windowWidth="1366" windowHeight="515" activeSheetId="1"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4" i="3" l="1"/>
  <c r="B34" i="3"/>
  <c r="G34" i="3" a="1"/>
  <c r="G34" i="3" s="1"/>
  <c r="H34" i="3"/>
  <c r="H46" i="10" l="1"/>
  <c r="B44" i="8"/>
  <c r="C43" i="7"/>
  <c r="C97" i="5"/>
  <c r="B98" i="5"/>
  <c r="C79" i="5"/>
  <c r="F79" i="5" s="1"/>
  <c r="D79" i="5"/>
  <c r="E79" i="5"/>
  <c r="C80" i="5"/>
  <c r="F80" i="5" s="1"/>
  <c r="D80" i="5"/>
  <c r="E80" i="5"/>
  <c r="C81" i="5"/>
  <c r="D81" i="5"/>
  <c r="E81" i="5"/>
  <c r="E78" i="5"/>
  <c r="D78" i="5"/>
  <c r="F78" i="5" s="1"/>
  <c r="C78" i="5"/>
  <c r="G75" i="4"/>
  <c r="E76" i="4"/>
  <c r="F76" i="4"/>
  <c r="E77" i="4"/>
  <c r="F77" i="4"/>
  <c r="F75" i="4"/>
  <c r="E75" i="4"/>
  <c r="D76" i="4"/>
  <c r="D77" i="4"/>
  <c r="D75" i="4"/>
  <c r="C76" i="4"/>
  <c r="C77" i="4"/>
  <c r="C75" i="4"/>
  <c r="E72" i="4"/>
  <c r="D72" i="4"/>
  <c r="C72" i="4"/>
  <c r="F72" i="4" s="1"/>
  <c r="E69" i="4"/>
  <c r="F69" i="4" s="1"/>
  <c r="D69" i="4"/>
  <c r="C69" i="4"/>
  <c r="A70" i="4"/>
  <c r="K226" i="3"/>
  <c r="L222" i="3"/>
  <c r="M219" i="3"/>
  <c r="L219" i="3"/>
  <c r="K219" i="3"/>
  <c r="BC18" i="12" a="1"/>
  <c r="BC18" i="12" s="1"/>
  <c r="BG11" i="12" a="1"/>
  <c r="BG11" i="12" s="1"/>
  <c r="BE11" i="12" a="1"/>
  <c r="BE11" i="12" s="1"/>
  <c r="BC11" i="12" a="1"/>
  <c r="BC11" i="12" s="1"/>
  <c r="BC4" i="12" a="1"/>
  <c r="BC4" i="12" s="1"/>
  <c r="AS3" i="12" a="1"/>
  <c r="AS3" i="12" s="1"/>
  <c r="AT3" i="12" a="1"/>
  <c r="AT3" i="12" s="1"/>
  <c r="AS4" i="12" a="1"/>
  <c r="AS4" i="12" s="1"/>
  <c r="AT4" i="12" a="1"/>
  <c r="AT4" i="12" s="1"/>
  <c r="AR4" i="12" a="1"/>
  <c r="AR4" i="12" s="1"/>
  <c r="AR3" i="12" a="1"/>
  <c r="AR3" i="12" s="1"/>
  <c r="AI2" i="12" a="1"/>
  <c r="AI2" i="12" s="1"/>
  <c r="AB1" i="12" a="1"/>
  <c r="AB1" i="12" s="1"/>
  <c r="G5" i="12" a="1"/>
  <c r="G5" i="12" s="1"/>
  <c r="J2" i="12"/>
  <c r="K2" i="12"/>
  <c r="L2" i="12"/>
  <c r="M2" i="12"/>
  <c r="N2" i="12"/>
  <c r="J3" i="12"/>
  <c r="K3" i="12"/>
  <c r="L3" i="12"/>
  <c r="M3" i="12"/>
  <c r="N3" i="12"/>
  <c r="J4" i="12"/>
  <c r="K4" i="12"/>
  <c r="L4" i="12"/>
  <c r="M4" i="12"/>
  <c r="N4" i="12"/>
  <c r="J5" i="12"/>
  <c r="K5" i="12"/>
  <c r="L5" i="12"/>
  <c r="M5" i="12"/>
  <c r="N5" i="12"/>
  <c r="J6" i="12"/>
  <c r="K6" i="12"/>
  <c r="L6" i="12"/>
  <c r="M6" i="12"/>
  <c r="N6" i="12"/>
  <c r="J7" i="12"/>
  <c r="K7" i="12"/>
  <c r="L7" i="12"/>
  <c r="M7" i="12"/>
  <c r="N7" i="12"/>
  <c r="J8" i="12"/>
  <c r="K8" i="12"/>
  <c r="L8" i="12"/>
  <c r="M8" i="12"/>
  <c r="N8" i="12"/>
  <c r="J9" i="12"/>
  <c r="K9" i="12"/>
  <c r="L9" i="12"/>
  <c r="M9" i="12"/>
  <c r="N9" i="12"/>
  <c r="J10" i="12"/>
  <c r="K10" i="12"/>
  <c r="L10" i="12"/>
  <c r="M10" i="12"/>
  <c r="N10" i="12"/>
  <c r="J11" i="12"/>
  <c r="K11" i="12"/>
  <c r="L11" i="12"/>
  <c r="M11" i="12"/>
  <c r="N11" i="12"/>
  <c r="J12" i="12"/>
  <c r="K12" i="12"/>
  <c r="L12" i="12"/>
  <c r="M12" i="12"/>
  <c r="N12" i="12"/>
  <c r="J13" i="12"/>
  <c r="K13" i="12"/>
  <c r="L13" i="12"/>
  <c r="M13" i="12"/>
  <c r="N13" i="12"/>
  <c r="J14" i="12"/>
  <c r="K14" i="12"/>
  <c r="L14" i="12"/>
  <c r="M14" i="12"/>
  <c r="N14" i="12"/>
  <c r="K1" i="12"/>
  <c r="L1" i="12"/>
  <c r="M1" i="12"/>
  <c r="N1" i="12"/>
  <c r="J1" i="12"/>
  <c r="G1" i="12"/>
  <c r="F81" i="5" l="1"/>
  <c r="I1" i="12"/>
  <c r="C49" i="10"/>
  <c r="C48" i="10"/>
  <c r="B41" i="9"/>
  <c r="A37" i="9"/>
  <c r="A29" i="9"/>
  <c r="A73" i="4"/>
  <c r="E63" i="6"/>
  <c r="G63" i="6"/>
  <c r="C63" i="6"/>
  <c r="F31" i="9" l="1"/>
  <c r="CB3" i="12"/>
  <c r="CB2" i="12"/>
  <c r="CB1" i="12"/>
  <c r="C29" i="9" l="1"/>
  <c r="C37" i="9"/>
  <c r="F32" i="9"/>
  <c r="C30" i="9" s="1"/>
  <c r="H32" i="9"/>
  <c r="D90" i="6"/>
  <c r="C90" i="6"/>
  <c r="B77" i="6"/>
  <c r="B78" i="6"/>
  <c r="B79" i="6"/>
  <c r="B80" i="6"/>
  <c r="B81" i="6"/>
  <c r="B82" i="6"/>
  <c r="B83" i="6"/>
  <c r="B84" i="6"/>
  <c r="B85" i="6"/>
  <c r="B86" i="6"/>
  <c r="B87" i="6"/>
  <c r="B76" i="6"/>
  <c r="D69" i="6"/>
  <c r="E69" i="6"/>
  <c r="F69" i="6"/>
  <c r="F68" i="6"/>
  <c r="E68" i="6"/>
  <c r="D68" i="6"/>
  <c r="G68" i="6" s="1"/>
  <c r="E58" i="6"/>
  <c r="E54" i="6"/>
  <c r="G69" i="6" l="1"/>
  <c r="H33" i="9"/>
  <c r="E46" i="10"/>
  <c r="CM2" i="12"/>
  <c r="CM3" i="12"/>
  <c r="CM4" i="12"/>
  <c r="CM5" i="12"/>
  <c r="CM6" i="12"/>
  <c r="CM7" i="12"/>
  <c r="CM8" i="12"/>
  <c r="CM9" i="12"/>
  <c r="CM1" i="12"/>
  <c r="E82" i="4"/>
  <c r="D82" i="4"/>
  <c r="C82" i="4"/>
  <c r="F82" i="4" l="1"/>
  <c r="CO1" i="12" a="1"/>
  <c r="CO1" i="12" s="1"/>
  <c r="F35" i="7" l="1"/>
  <c r="BO1" i="12" l="1"/>
  <c r="I84" i="5" l="1"/>
  <c r="A104" i="2" l="1"/>
  <c r="D39" i="8" l="1"/>
  <c r="D38" i="8"/>
  <c r="D37" i="8"/>
  <c r="D36" i="8"/>
  <c r="B39" i="10"/>
  <c r="B19" i="10"/>
  <c r="G48" i="6"/>
  <c r="G47" i="6"/>
  <c r="G46" i="6"/>
  <c r="F23" i="9"/>
  <c r="F22" i="9"/>
  <c r="F21" i="9"/>
  <c r="D38" i="7"/>
  <c r="D37" i="7"/>
  <c r="D36" i="7"/>
  <c r="D35" i="7"/>
  <c r="G21" i="6" l="1"/>
  <c r="G22" i="6"/>
  <c r="G20" i="6"/>
  <c r="J71" i="5"/>
  <c r="J70" i="5"/>
  <c r="J69" i="5"/>
  <c r="J68" i="5"/>
  <c r="J47" i="5"/>
  <c r="J46" i="5"/>
  <c r="J45" i="5"/>
  <c r="J44" i="5"/>
  <c r="J21" i="5"/>
  <c r="J22" i="5"/>
  <c r="J23" i="5"/>
  <c r="J20" i="5"/>
  <c r="I66" i="4"/>
  <c r="I65" i="4"/>
  <c r="I64" i="4"/>
  <c r="I44" i="4"/>
  <c r="I43" i="4"/>
  <c r="I42" i="4"/>
  <c r="I21" i="4"/>
  <c r="I22" i="4"/>
  <c r="I20" i="4"/>
  <c r="J207" i="3"/>
  <c r="G207" i="3"/>
  <c r="C200" i="3"/>
  <c r="C201" i="3" s="1"/>
  <c r="C202" i="3" s="1"/>
  <c r="C203" i="3" s="1"/>
  <c r="C204" i="3" s="1"/>
  <c r="C205" i="3" s="1"/>
  <c r="J173" i="3"/>
  <c r="G173" i="3"/>
  <c r="C166" i="3"/>
  <c r="C167" i="3" s="1"/>
  <c r="C168" i="3" s="1"/>
  <c r="C169" i="3" s="1"/>
  <c r="C170" i="3" s="1"/>
  <c r="C171" i="3" s="1"/>
  <c r="G139" i="3"/>
  <c r="C132" i="3"/>
  <c r="C133" i="3" s="1"/>
  <c r="C134" i="3" s="1"/>
  <c r="C135" i="3" s="1"/>
  <c r="C136" i="3" s="1"/>
  <c r="C137" i="3" s="1"/>
  <c r="G105" i="3"/>
  <c r="G70" i="3"/>
  <c r="C98" i="3"/>
  <c r="C99" i="3" s="1"/>
  <c r="C100" i="3" s="1"/>
  <c r="C101" i="3" s="1"/>
  <c r="C102" i="3" s="1"/>
  <c r="C103" i="3" s="1"/>
  <c r="C63" i="3"/>
  <c r="C64" i="3" s="1"/>
  <c r="C65" i="3" s="1"/>
  <c r="C66" i="3" s="1"/>
  <c r="C67" i="3" s="1"/>
  <c r="C68" i="3" s="1"/>
  <c r="J139" i="3" l="1"/>
  <c r="J70" i="3"/>
  <c r="J105" i="3"/>
  <c r="C27" i="3" l="1"/>
  <c r="C28" i="3" l="1"/>
  <c r="C29" i="3" s="1"/>
  <c r="C30" i="3" s="1"/>
  <c r="C31" i="3" s="1"/>
  <c r="C32" i="3" s="1"/>
  <c r="J34" i="3" l="1"/>
</calcChain>
</file>

<file path=xl/sharedStrings.xml><?xml version="1.0" encoding="utf-8"?>
<sst xmlns="http://schemas.openxmlformats.org/spreadsheetml/2006/main" count="4563" uniqueCount="430">
  <si>
    <t>Output</t>
  </si>
  <si>
    <t>Working:-</t>
  </si>
  <si>
    <t>Function</t>
  </si>
  <si>
    <t>Example:-</t>
  </si>
  <si>
    <t>Syntax:</t>
  </si>
  <si>
    <t>Parameters:</t>
  </si>
  <si>
    <t>Country</t>
  </si>
  <si>
    <t>UK</t>
  </si>
  <si>
    <t>USA</t>
  </si>
  <si>
    <t>Salesperson</t>
  </si>
  <si>
    <t>Order Date</t>
  </si>
  <si>
    <t>OrderID</t>
  </si>
  <si>
    <t>Order Amount</t>
  </si>
  <si>
    <t>Suyama</t>
  </si>
  <si>
    <t>Lee</t>
  </si>
  <si>
    <t>Leverling</t>
  </si>
  <si>
    <t>Dodsworth</t>
  </si>
  <si>
    <t>Buchanan</t>
  </si>
  <si>
    <t>Fuller</t>
  </si>
  <si>
    <t>Array Functions</t>
  </si>
  <si>
    <t>An Excel Array Formula performs multiple calculations on one or more sets of values (the 'array arguments') and returns one or more results.</t>
  </si>
  <si>
    <t>This is best described by way of an example:</t>
  </si>
  <si>
    <t>Suppose you are working in the spreadsheet on the right, and you wish to use the Excel Transpose Function to copy the contents of cells B1:B3 into cells A5:C5.</t>
  </si>
  <si>
    <t>We require a transpose from cells B1:B3 into cells A5:C5</t>
  </si>
  <si>
    <t>Incorrect Method:</t>
  </si>
  <si>
    <t>If you simply type the function</t>
  </si>
  <si>
    <t>into the cells A5:C5 (as shown on the right), you will get the Excel #VALUE! error message, because in this case, the cells are working independently and so the function doesn't make sense to each individual cell.</t>
  </si>
  <si>
    <t>=TRANSPOSE( B1:B3 )</t>
  </si>
  <si>
    <t>Simple formula returns #VALUE error</t>
  </si>
  <si>
    <t>Correct Method:</t>
  </si>
  <si>
    <t>Result - obtained by inputting as an array formula</t>
  </si>
  <si>
    <t>In order to make sense of the Transpose Function, we need to get the cells A5:C5 to work together as an ARRAY. Therefore we need to enter the function as an Excel array formula.</t>
  </si>
  <si>
    <t>The array formula is entered by pressing CTRL-SHIFT-Enter (see below for further details on inputting array formulas). This puts curly braces around the formula as seen in the formula bar of the results spreadsheet on the right.</t>
  </si>
  <si>
    <t>Inputting Excel Array Formulas</t>
  </si>
  <si>
    <t>In order to be understood as an array formula, a formula must be input in the following way:</t>
  </si>
  <si>
    <t>Highlight the range of cells that you want to input your array formula into</t>
  </si>
  <si>
    <t>Type the array formula into the first cell (or if already typed into the first cell, make this cell editable by pressing F2 or clicking in the formula bar</t>
  </si>
  <si>
    <t>Press CTRL-SHIFT-Enter (ie. press the CTRL and SHIFT keys, and while these are pressed down, press the Enter key</t>
  </si>
  <si>
    <t>You will notice that Excel automatically places curly braces { } around array formulas. Note that these must be inserted by Excel</t>
  </si>
  <si>
    <t>Editing Excel Array Formulas</t>
  </si>
  <si>
    <t>Excel will not allow you to edit just one part of a range of cells that contain an array formula, as the cells all work together as a group.</t>
  </si>
  <si>
    <t>Therefore, in order to edit an Excel array formula, you need to:</t>
  </si>
  <si>
    <t>Select one of the cells in the array formula</t>
  </si>
  <si>
    <t>Make your alterations in the selected cell</t>
  </si>
  <si>
    <t>Press CTRL-SHIFT-Enter to update the whole array</t>
  </si>
  <si>
    <t>Deleting Excel Array Formulas</t>
  </si>
  <si>
    <t>Excel will also not allow you to delete part of an Excel Array Formula. You must delete the formula from all cells that it occupies.</t>
  </si>
  <si>
    <t>Therefore, if you want to remove an array formula from a range of cells you need to highlight the whole cell range, and then press the delete key.</t>
  </si>
  <si>
    <t>Excel Array Formula Example 2</t>
  </si>
  <si>
    <t>Suppose you are working on the example spreadsheet below, and you want to multiply each of the values in cells A1:A5 with the corresponding values in cells B1:B5, and then sum all these values.</t>
  </si>
  <si>
    <t>The simplest way to perform this task is with the use of the array formula,</t>
  </si>
  <si>
    <t>This is shown in the formula bar of the result spreadsheet below.</t>
  </si>
  <si>
    <t>=SUM( A1:A5 * B1:B5 )</t>
  </si>
  <si>
    <t>Original Spreadsheet:</t>
  </si>
  <si>
    <t>Result:</t>
  </si>
  <si>
    <t>Note that, even though the array formula in the above spreadsheet is only entered into one cell, you still need to enter the formula using CTRL-SHIFT-Enter to ensure that Excel understands it to be an array formula.</t>
  </si>
  <si>
    <t>Database Functions</t>
  </si>
  <si>
    <t>Dsum</t>
  </si>
  <si>
    <t>The Microsoft Excel DSUM function sums the numbers in a column or database that meets a given criteria.</t>
  </si>
  <si>
    <t>DSUM( range, field, criteria )</t>
  </si>
  <si>
    <t>range</t>
  </si>
  <si>
    <t>The range of cells that you want to apply the criteria against.</t>
  </si>
  <si>
    <t>field</t>
  </si>
  <si>
    <t>The column to sum the values. You can either specify the numerical position of the column in the list or the column label in double quotation marks.</t>
  </si>
  <si>
    <t>criteria</t>
  </si>
  <si>
    <t>The range of cells that contains your criteria.</t>
  </si>
  <si>
    <t>Let's look at some Excel DSUM function examples and explore how to use the DSUM function as a worksheet function in Microsoft Excel:</t>
  </si>
  <si>
    <t>Criteria:-</t>
  </si>
  <si>
    <t>&gt;30-Apr-07</t>
  </si>
  <si>
    <t>=DSUM($A$43:$E$50,E43,$G$43:$H$44)</t>
  </si>
  <si>
    <t>Functions:-</t>
  </si>
  <si>
    <t>Output:-</t>
  </si>
  <si>
    <t>=DSUM($A$43:$E$50,E43,$J$43:$L$44)</t>
  </si>
  <si>
    <t>Dcount</t>
  </si>
  <si>
    <t>The Microsoft Excel DCOUNT function returns the number of cells in a column or database that contains numerc values and meets a given criteria.</t>
  </si>
  <si>
    <t>DCOUNT( range, [field], criteria )</t>
  </si>
  <si>
    <t>Optional. It is the column to count the numeric values that meet the criteria. You can either specify the numerical position of the column in the list or the column label in double quotation marks. If field is omitted, it will count all records that match the criteria.</t>
  </si>
  <si>
    <t>Let's look at some Excel DCOUNT function examples and explore how to use the DCOUNT function as a worksheet function in Microsoft Excel:</t>
  </si>
  <si>
    <t>DCOUNTA</t>
  </si>
  <si>
    <t>Let's look at some Excel DCOUNTA function examples and explore how to use the DCOUNTA function as a worksheet function in Microsoft Excel:</t>
  </si>
  <si>
    <t>The Microsoft Excel DCOUNTA function returns the number of cells in a column or database that contains nonblank values and meets a given criteria.</t>
  </si>
  <si>
    <t>DCOUNTA( range, field, criteria )</t>
  </si>
  <si>
    <t>The column to count the values. You can either specify the numerical position of the column in the list or the column label in double quotation marks.</t>
  </si>
  <si>
    <t>=DCOUNT($A$96:$E$103,E96,$G$96:$H$97)</t>
  </si>
  <si>
    <t>=DCOUNT($A$96:$E$103,E96,$J$96:$L$97)</t>
  </si>
  <si>
    <t>=DCOUNTA($A$148:$E$155,E148,$G$148:$H$149)</t>
  </si>
  <si>
    <t>=DCOUNTA($A$148:$E$155,E148,$J$148:$L$149)</t>
  </si>
  <si>
    <t>DMAX</t>
  </si>
  <si>
    <t>Let's look at some Excel DMAX function examples and explore how to use the DMAX function as a worksheet function in Microsoft Excel:</t>
  </si>
  <si>
    <t>The Microsoft Excel DMAX function returns the largest number in a column in a list or database, based on a given criteria.</t>
  </si>
  <si>
    <t>DMAX( database, field, criteria )</t>
  </si>
  <si>
    <t>database</t>
  </si>
  <si>
    <t>The column to find the largest number in. You can either specify the numerical position of the column in the list or the column label in double quotation marks.</t>
  </si>
  <si>
    <t>=DMAX($A$130:$E$137,E130,$G$130:$H$131)</t>
  </si>
  <si>
    <t>=DMAX($A$130:$E$137,E130,$J$130:$L$131)</t>
  </si>
  <si>
    <t>DMIN</t>
  </si>
  <si>
    <t>DMIN( database, field, criteria )</t>
  </si>
  <si>
    <t>Let's look at some Excel DMIN function examples and explore how to use the DMIN function as a worksheet function in Microsoft Excel:</t>
  </si>
  <si>
    <t>The Microsoft Excel DMIN function returns the smallest number in a column in a list or database, based on a given criteria.</t>
  </si>
  <si>
    <t>The column to find the smallest number in. You can either specify the numerical position of the column in the list or the column label in double quotation marks.</t>
  </si>
  <si>
    <t>=DMIN($A$164:$E$171,E164,$J$164:$L$165)</t>
  </si>
  <si>
    <t>=DMIN($A$164:$E$171,E164,$G$164:$H$165)</t>
  </si>
  <si>
    <t>DAVERAGE</t>
  </si>
  <si>
    <t>DAVERAGE( database, field, criteria )</t>
  </si>
  <si>
    <t>Let's look at some Excel DAVERAGE function examples and explore how to use the DAVERAGE function as a worksheet function in Microsoft Excel:</t>
  </si>
  <si>
    <t>The Microsoft Excel DAVERAGE function averages all numbers in a column in a list or database, based on a given criteria.</t>
  </si>
  <si>
    <t>The column to average the values. You can either specify the numerical position of the column in the list or the column label in double quotation marks.</t>
  </si>
  <si>
    <t>=DAVERAGE($A$198:$E$205,E198,$J$198:$L$199)</t>
  </si>
  <si>
    <t>=DAVERAGE($A$198:$E$205,E198,$G$198:$H$199)</t>
  </si>
  <si>
    <t>Year, Month and Day</t>
  </si>
  <si>
    <t>Year</t>
  </si>
  <si>
    <t>The Microsoft Excel YEAR function returns a four-digit year (a number from 1900 to 9999) given a date value</t>
  </si>
  <si>
    <t>YEAR( date_value )</t>
  </si>
  <si>
    <t>date_value</t>
  </si>
  <si>
    <t>A valid date to return the year value.</t>
  </si>
  <si>
    <t>Functions</t>
  </si>
  <si>
    <t>=YEAR(C20)</t>
  </si>
  <si>
    <t>=YEAR(C21)</t>
  </si>
  <si>
    <t>=YEAR(C22)</t>
  </si>
  <si>
    <t>Month</t>
  </si>
  <si>
    <t>MONTH( date_value )</t>
  </si>
  <si>
    <t>A valid date to return the month.</t>
  </si>
  <si>
    <t>=Month(C20)</t>
  </si>
  <si>
    <t>=Month(C21)</t>
  </si>
  <si>
    <t>=Month(C22)</t>
  </si>
  <si>
    <t>Day</t>
  </si>
  <si>
    <t>Day( date_value )</t>
  </si>
  <si>
    <t>=Day(C20)</t>
  </si>
  <si>
    <t>=Day(C21)</t>
  </si>
  <si>
    <t>=Day(C22)</t>
  </si>
  <si>
    <t>The Microsoft Excel MONTH function returns the month (a number from 1 to 12) given a date value.</t>
  </si>
  <si>
    <t>The Microsoft Excel DAY function returns the day of the month (a number from 1 to 31) given a date value.</t>
  </si>
  <si>
    <t>A valid date to return the day of the month.</t>
  </si>
  <si>
    <t>Hour, Minute and Second</t>
  </si>
  <si>
    <t>Hour</t>
  </si>
  <si>
    <t>This Excel tutorial explains how to use the Excel HOUR function with syntax and examples.</t>
  </si>
  <si>
    <t>Hour( serial_number )</t>
  </si>
  <si>
    <t>serial_number</t>
  </si>
  <si>
    <t>The time value to extract the hour from. It may be expressed as a string value, a decimal number, or the result of a formula.</t>
  </si>
  <si>
    <t>=HOUR(C20)</t>
  </si>
  <si>
    <t>=HOUR(C21)</t>
  </si>
  <si>
    <t>=HOUR(C22)</t>
  </si>
  <si>
    <t>=HOUR(C23)</t>
  </si>
  <si>
    <t>Minute</t>
  </si>
  <si>
    <t>Minute( serial_number )</t>
  </si>
  <si>
    <t>=Minute(C20)</t>
  </si>
  <si>
    <t>=Minute(C21)</t>
  </si>
  <si>
    <t>=Minute(C22)</t>
  </si>
  <si>
    <t>=Minute(C23)</t>
  </si>
  <si>
    <t>This Excel tutorial explains how to use the Excel MINUTE function with syntax and examples.</t>
  </si>
  <si>
    <t>The time value to extract the minute from. It may be expressed as a string value, a decimal number, or the result of a formula.</t>
  </si>
  <si>
    <t>Second</t>
  </si>
  <si>
    <t>Second( serial_number )</t>
  </si>
  <si>
    <t>=Second(C20)</t>
  </si>
  <si>
    <t>=Second(C21)</t>
  </si>
  <si>
    <t>=Second(C22)</t>
  </si>
  <si>
    <t>=Second(C23)</t>
  </si>
  <si>
    <t>The Microsoft Excel SECOND function returns the second of a time value (from 0 to 59).</t>
  </si>
  <si>
    <t>The time value to extract the second from. It may be expressed as a string value, a decimal number, or the result of a formula.</t>
  </si>
  <si>
    <t>Date</t>
  </si>
  <si>
    <t>The Microsoft Excel DATE function returns the serial number of a date. Please note that the VBA version of the DATE function has different syntax.</t>
  </si>
  <si>
    <t>DATE( year, month, day )</t>
  </si>
  <si>
    <t>year</t>
  </si>
  <si>
    <t>A number that is between one and four digits.</t>
  </si>
  <si>
    <t>month</t>
  </si>
  <si>
    <t>A number representing the month value. If the month value is greater than 12, it adds that number of months to the first month of the year specified in the year parameter.</t>
  </si>
  <si>
    <t>day</t>
  </si>
  <si>
    <t>A number representing the day value. If the day value is greater than the number of days in the month specified, it adds that number of days to the first day in the month specified in the month parameter.</t>
  </si>
  <si>
    <t>=DATE(A20,B20,C20)</t>
  </si>
  <si>
    <t>=DATE(A21,B21,C21)</t>
  </si>
  <si>
    <t>=DATE(A22,B22,C22)</t>
  </si>
  <si>
    <t>Weekday</t>
  </si>
  <si>
    <t>The Microsoft Excel WEEKDAY function returns a number representing the day of the week, given a date value.</t>
  </si>
  <si>
    <t>WEEKDAY( serial_number, [return_value] )</t>
  </si>
  <si>
    <t>A date expressed as a serial number or a date in quotation marks.</t>
  </si>
  <si>
    <t>return_value</t>
  </si>
  <si>
    <t>Optional. It determines the day to use as the first day of the week in the calculations.</t>
  </si>
  <si>
    <t>The return_value parameter, when used as a worksheet function, can be any of the following values:</t>
  </si>
  <si>
    <t>Value</t>
  </si>
  <si>
    <t>Explanation</t>
  </si>
  <si>
    <t>Version</t>
  </si>
  <si>
    <t>Returns a number from 1 (Sunday) to 7 (Saturday).</t>
  </si>
  <si>
    <t>This is the default if parameter is omitted.</t>
  </si>
  <si>
    <t>Returns a number from 1 (Monday) to 7 (Sunday).</t>
  </si>
  <si>
    <t>Returns a number from 0 (Monday) to 6 (Sunday).</t>
  </si>
  <si>
    <t>* Introduced in Excel 2010</t>
  </si>
  <si>
    <t>Returns a number from 1 (Tuesday) to 7 (Monday).</t>
  </si>
  <si>
    <t>Returns a number from 1 (Wednesday) to 7 (Tuesday).</t>
  </si>
  <si>
    <t>Returns a number from 1 (Thursday) to 7 (Wednesday).</t>
  </si>
  <si>
    <t>Returns a number from 1 (Friday) to 7 (Thursday).</t>
  </si>
  <si>
    <t>Returns a number from 1 (Saturday) to 7 (Friday).</t>
  </si>
  <si>
    <t>Let's look at some Excel WEEKDAY function examples and explore how to use the WEEKDAY function as a worksheet function in Microsoft Excel:</t>
  </si>
  <si>
    <t>=WEEKDAY(A35)</t>
  </si>
  <si>
    <t>=WEEKDAY(A36,1)</t>
  </si>
  <si>
    <t>=WEEKDAY(A37,2)</t>
  </si>
  <si>
    <t>=WEEKDAY(A38,3)</t>
  </si>
  <si>
    <t>Weeknum</t>
  </si>
  <si>
    <t>Networkdays</t>
  </si>
  <si>
    <t>The Microsoft Excel NETWORKDAYS function returns the number of "work days" between 2 dates, excluding weekends and holidays.</t>
  </si>
  <si>
    <t>NETWORKDAYS( start_date, end_date, [holidays] )</t>
  </si>
  <si>
    <t>start_date</t>
  </si>
  <si>
    <t>The start date to use in the calculation. It must be entered using the DATE function.</t>
  </si>
  <si>
    <t>end_date</t>
  </si>
  <si>
    <t>The end date to use in the calculation. It must be entered using the DATE function.</t>
  </si>
  <si>
    <t>holidays</t>
  </si>
  <si>
    <t>Optional. It is the list of holidays to exclude from the "work days" calculation. It can be entered either as a range of cells that contain the holiday dates (ie: E2:E4) or as a list of serial numbers that represent the holiday dates.</t>
  </si>
  <si>
    <t>Start Date</t>
  </si>
  <si>
    <t>End Date</t>
  </si>
  <si>
    <t>Holidays</t>
  </si>
  <si>
    <t>Republic Day</t>
  </si>
  <si>
    <t>Diwali</t>
  </si>
  <si>
    <t>=NETWORKDAYS(A21,B21)</t>
  </si>
  <si>
    <t>=NETWORKDAYS(A22,B22,K20)</t>
  </si>
  <si>
    <t>=NETWORKDAYS(A23,B23,K22:K23)</t>
  </si>
  <si>
    <t>Time</t>
  </si>
  <si>
    <t>Date &amp; Time</t>
  </si>
  <si>
    <t>Today and Now</t>
  </si>
  <si>
    <t>The Microsoft Excel TIME function returns the decimal number for a particular time.</t>
  </si>
  <si>
    <t>TIME( hour, minute, second )</t>
  </si>
  <si>
    <t>hour</t>
  </si>
  <si>
    <t>A number from 0 to 23, representing the hour.</t>
  </si>
  <si>
    <t>minute</t>
  </si>
  <si>
    <t>A number from 0 to 59, representing the minute.</t>
  </si>
  <si>
    <t>second</t>
  </si>
  <si>
    <t>A number from 0 to 59, representing the second.</t>
  </si>
  <si>
    <t>=TIME(A20,B20,C20)</t>
  </si>
  <si>
    <t>=TIME(A21,B21,C21)</t>
  </si>
  <si>
    <t>=TIME(A22,B22,C22)</t>
  </si>
  <si>
    <t>The Microsoft Excel TODAY function returns the current system date. This function will refresh the date whenever the worksheet recalculates.</t>
  </si>
  <si>
    <t>TODAY()</t>
  </si>
  <si>
    <t>There are no parameters or arguments for the TODAY function.</t>
  </si>
  <si>
    <t>FUNCTION</t>
  </si>
  <si>
    <t>RESULT</t>
  </si>
  <si>
    <t>=TODAY()</t>
  </si>
  <si>
    <t>NOW()</t>
  </si>
  <si>
    <t>There are no parameters or arguments for the NOW function.</t>
  </si>
  <si>
    <t>=NOW()</t>
  </si>
  <si>
    <t>NOW</t>
  </si>
  <si>
    <t>TODAY</t>
  </si>
  <si>
    <t>The Microsoft Excel NOW function returns the current system date and time. The NOW function will refresh the date/time value whenever the worksheet recalculates.</t>
  </si>
  <si>
    <t>For a supplied a date, the Excel Weeknum function returns an integer representing the week number (from 1 to 53) of the year.</t>
  </si>
  <si>
    <t>WEEKNUM( serial_number, [return_type] )</t>
  </si>
  <si>
    <t>The Excel date, that you want to return the week number for.</t>
  </si>
  <si>
    <t>[return_type]</t>
  </si>
  <si>
    <t>An optional argument, that specifies which numbering system to be used and which weekday should be treated as the start of the week.</t>
  </si>
  <si>
    <t>system 1     -</t>
  </si>
  <si>
    <t>The week containing January 1st is numbered week 1;</t>
  </si>
  <si>
    <t>system 2     -</t>
  </si>
  <si>
    <t>The week containing the first Thursday of the year is numbered week 1.</t>
  </si>
  <si>
    <t>return_type]</t>
  </si>
  <si>
    <t>Meaning</t>
  </si>
  <si>
    <t>Week runs from Sunday to Saturday; Uses numbering system 1</t>
  </si>
  <si>
    <t>Week runs from Monday to Sunday; Uses numbering system 1</t>
  </si>
  <si>
    <t>Week runs from Tuesday to Monday; Uses numbering system 1</t>
  </si>
  <si>
    <t>Week runs from Wednesday to Tuesday; Uses numbering system 1</t>
  </si>
  <si>
    <t>Week runs from Thursday to Wednesday; Uses numbering system 1</t>
  </si>
  <si>
    <t>Week runs from Friday to Thursday; Uses numbering system 1</t>
  </si>
  <si>
    <t>Week runs from Saturday to Friday; Uses numbering system 1</t>
  </si>
  <si>
    <t>Week runs from Sunday to Monday; Uses numbering system 1</t>
  </si>
  <si>
    <t>Week runs from Monday to Sunday; Uses numbering system 2</t>
  </si>
  <si>
    <t>=WEEKNUM(A38,1)</t>
  </si>
  <si>
    <t>=WEEKNUM(A36)</t>
  </si>
  <si>
    <t>=WEEKNUM(A37,1)</t>
  </si>
  <si>
    <t>=WEEKNUM(A39)</t>
  </si>
  <si>
    <t>AA</t>
  </si>
  <si>
    <t>AB</t>
  </si>
  <si>
    <t>AC</t>
  </si>
  <si>
    <t>AAA</t>
  </si>
  <si>
    <t>AAV</t>
  </si>
  <si>
    <t>DD</t>
  </si>
  <si>
    <t>CCC</t>
  </si>
  <si>
    <t>DE</t>
  </si>
  <si>
    <t>RRR</t>
  </si>
  <si>
    <t>EEEE</t>
  </si>
  <si>
    <t>&gt;5000</t>
  </si>
  <si>
    <t>01\02\2001</t>
  </si>
  <si>
    <t>Months</t>
  </si>
  <si>
    <t>Items</t>
  </si>
  <si>
    <t>Formulaes</t>
  </si>
  <si>
    <t>g</t>
  </si>
  <si>
    <t>A</t>
  </si>
  <si>
    <t>b</t>
  </si>
  <si>
    <t>c</t>
  </si>
  <si>
    <t>d</t>
  </si>
  <si>
    <t>e</t>
  </si>
  <si>
    <t>f</t>
  </si>
  <si>
    <t>h</t>
  </si>
  <si>
    <t>Davolio</t>
  </si>
  <si>
    <t>Chang</t>
  </si>
  <si>
    <t>Callahan</t>
  </si>
  <si>
    <t>Name Begins With</t>
  </si>
  <si>
    <t>Total Sales</t>
  </si>
  <si>
    <t>C</t>
  </si>
  <si>
    <t>L</t>
  </si>
  <si>
    <t>Max</t>
  </si>
  <si>
    <t>Average</t>
  </si>
  <si>
    <t>Min</t>
  </si>
  <si>
    <t>Dmax</t>
  </si>
  <si>
    <t>&lt;10000</t>
  </si>
  <si>
    <t>Dmx</t>
  </si>
  <si>
    <t>Daverage</t>
  </si>
  <si>
    <t>Q7. Find the Max, Min &amp; Average of order amount where Country is Equal to USA, Year &gt;=2008?</t>
  </si>
  <si>
    <t>02.05.2007</t>
  </si>
  <si>
    <t>Rohit Kumar Gupta</t>
  </si>
  <si>
    <t>1.5.2007</t>
  </si>
  <si>
    <t>21 Hour 03 Minute 04 Second</t>
  </si>
  <si>
    <t>*C</t>
  </si>
  <si>
    <t>Ends With</t>
  </si>
  <si>
    <t>C*</t>
  </si>
  <si>
    <t>Begins With</t>
  </si>
  <si>
    <t>*C*</t>
  </si>
  <si>
    <t>Contains</t>
  </si>
  <si>
    <t>Dmin</t>
  </si>
  <si>
    <t>Sunday</t>
  </si>
  <si>
    <t>Jan</t>
  </si>
  <si>
    <t>Feb</t>
  </si>
  <si>
    <t>Mar</t>
  </si>
  <si>
    <t>Apr</t>
  </si>
  <si>
    <t>May</t>
  </si>
  <si>
    <t>Jun</t>
  </si>
  <si>
    <t>Jul</t>
  </si>
  <si>
    <t>Aug</t>
  </si>
  <si>
    <t>Sep</t>
  </si>
  <si>
    <t>Oct</t>
  </si>
  <si>
    <t>Nov</t>
  </si>
  <si>
    <t>Dec</t>
  </si>
  <si>
    <t>Saturday</t>
  </si>
  <si>
    <t>Monday</t>
  </si>
  <si>
    <t>Tuesday</t>
  </si>
  <si>
    <t>Wednesday</t>
  </si>
  <si>
    <t>Thursday</t>
  </si>
  <si>
    <t>Friday</t>
  </si>
  <si>
    <t>B</t>
  </si>
  <si>
    <t>D</t>
  </si>
  <si>
    <t>E</t>
  </si>
  <si>
    <t>Q8. Top 5 Sales Sum</t>
  </si>
  <si>
    <t>2018.12.01</t>
  </si>
  <si>
    <t>1\10\2009</t>
  </si>
  <si>
    <t>1 Hour 01 Minute 05 Second</t>
  </si>
  <si>
    <t>Vs LM</t>
  </si>
  <si>
    <t>Vs LY</t>
  </si>
  <si>
    <t>Sdfsd</t>
  </si>
  <si>
    <t>Veg</t>
  </si>
  <si>
    <t>Non-Veg</t>
  </si>
  <si>
    <t>Mobile No</t>
  </si>
  <si>
    <t>Product Code</t>
  </si>
  <si>
    <t>Pref</t>
  </si>
  <si>
    <t>Chinese</t>
  </si>
  <si>
    <t>AZ101</t>
  </si>
  <si>
    <t>Whole no.</t>
  </si>
  <si>
    <t>Select Pref</t>
  </si>
  <si>
    <t>Preference</t>
  </si>
  <si>
    <t>On Hold</t>
  </si>
  <si>
    <t>4. Enter an incorrect product code</t>
  </si>
  <si>
    <t>Explanation: this AND function has three arguments. LEFT(A2)="C" forces the user to start with the letter C. LEN(A2)=4 forces the user to enter a string with a length of 4 characters. ISNUMBER(VALUE(RIGHT(A2,3))) forces the user to end with 3 numbers. RIGHT(A2,3) extracts the 3 rightmost characters from the text string. The VALUE function converts this text string to a number. ISNUMBER checks whether this value is a number. The AND Function returns TRUE if all conditions are true. Because we selected the range A2:A7 before we clicked on Data Validation, Excel automatically copies the formula to the other cells.</t>
  </si>
  <si>
    <t>3. In the Allow list, click Custom.</t>
  </si>
  <si>
    <t>2. On the Data tab, click Data Validation.</t>
  </si>
  <si>
    <t>1. Select the range where you want user to enter a vendor code</t>
  </si>
  <si>
    <t>Vendor Code</t>
  </si>
  <si>
    <t>Result. Excel shows an error alert. You've already entered that invoice number.</t>
  </si>
  <si>
    <t>5. Enter a duplicate invoice number</t>
  </si>
  <si>
    <t>Explanation: The COUNTIF function takes two arguments. =COUNTIF($A$2:$A$20,A2) counts the number of values in the range A2:A20 that are equal to the value in cell A2. This value may only occur once (=1) since we don't want duplicate entries. Because we selected the range A2:A20 before we clicked on Data Validation, Excel automatically copies the formula to the other cells. Notice how we created an absolute reference ($A$2:$A$20) to fix this reference.</t>
  </si>
  <si>
    <t>4. In the Formula box, enter the formula shown below and click OK.</t>
  </si>
  <si>
    <t>1. Select the Range A1:A20</t>
  </si>
  <si>
    <t>Prevent Duplicates Entries</t>
  </si>
  <si>
    <t>7. You can also type the items directly into the text box, without using Sheet2. This gives the exact same result.</t>
  </si>
  <si>
    <t>6. Click Ok.</t>
  </si>
  <si>
    <t>5. Click in the Source box and select the range A1:A3</t>
  </si>
  <si>
    <t>4. In the Allow box, click List.</t>
  </si>
  <si>
    <t>3. On the Data tab, click Data Validation.</t>
  </si>
  <si>
    <t>2. Select the cell or range where you want to apply validatin rule or drop down list</t>
  </si>
  <si>
    <t>1. Type the items you want to appear in the drop-down list.</t>
  </si>
  <si>
    <t>Drop-down lists in Excel are helpful if you want to be sure that users select an item from a list, instead of typing their own values.</t>
  </si>
  <si>
    <t>List Validation</t>
  </si>
  <si>
    <t>2. Try to enter a number higher than 10.</t>
  </si>
  <si>
    <t>1. Select cell C2.</t>
  </si>
  <si>
    <t>Data Validation Result</t>
  </si>
  <si>
    <t xml:space="preserve">3. Enter an error message.
</t>
  </si>
  <si>
    <t>2. Enter a title.</t>
  </si>
  <si>
    <t>1. Check 'Show error alert after invalid data is entered'.</t>
  </si>
  <si>
    <t>If users ignore the input message and enter a number that is not valid, you can show them an error alert.</t>
  </si>
  <si>
    <t>Error Alert</t>
  </si>
  <si>
    <t>3. Enter an input message.</t>
  </si>
  <si>
    <t>1. Check 'Show input message when cell is selected'.</t>
  </si>
  <si>
    <t>Input messages appear when the user selects the cell and tell the user what to enter.</t>
  </si>
  <si>
    <t>Input Message</t>
  </si>
  <si>
    <t>5. Enter the Minimum and Maximum values.</t>
  </si>
  <si>
    <t>4. In the Data list, click between.</t>
  </si>
  <si>
    <t>3. In the Allow list, click Whole number.</t>
  </si>
  <si>
    <t>Cancelled</t>
  </si>
  <si>
    <t>Pending</t>
  </si>
  <si>
    <t>Rejected</t>
  </si>
  <si>
    <t>In this example, we restrict users to enter a whole number between 0 and 10.</t>
  </si>
  <si>
    <t>Completed</t>
  </si>
  <si>
    <t>Data validation in Excel to make sure that users enter certain values into a cell that you allow him to enter.</t>
  </si>
  <si>
    <t>Policy Status</t>
  </si>
  <si>
    <t>Status</t>
  </si>
  <si>
    <t>Emp ID</t>
  </si>
  <si>
    <t>List</t>
  </si>
  <si>
    <t>Validation</t>
  </si>
  <si>
    <t>Tutorial 5</t>
  </si>
  <si>
    <t>Dcnt</t>
  </si>
  <si>
    <t>LM</t>
  </si>
  <si>
    <t>LY</t>
  </si>
  <si>
    <t>LM Edate</t>
  </si>
  <si>
    <t>LY Edate</t>
  </si>
  <si>
    <t>[h]:mm:ss</t>
  </si>
  <si>
    <t>ewew</t>
  </si>
  <si>
    <r>
      <t>O</t>
    </r>
    <r>
      <rPr>
        <vertAlign val="superscript"/>
        <sz val="11"/>
        <color theme="1"/>
        <rFont val="Calibri"/>
        <family val="2"/>
        <scheme val="minor"/>
      </rPr>
      <t>2</t>
    </r>
  </si>
  <si>
    <r>
      <t>2</t>
    </r>
    <r>
      <rPr>
        <vertAlign val="subscript"/>
        <sz val="11"/>
        <color theme="1"/>
        <rFont val="Calibri"/>
        <family val="2"/>
        <scheme val="minor"/>
      </rPr>
      <t>2</t>
    </r>
  </si>
  <si>
    <t>ssssssssssssssssssssssssssss</t>
  </si>
  <si>
    <t>swsw</t>
  </si>
  <si>
    <t>Employee ID</t>
  </si>
  <si>
    <t>Q6. Find the sum of order amount where year is equal to 2007, Country is equal to "UK"?</t>
  </si>
  <si>
    <t>Employee Name</t>
  </si>
  <si>
    <t>DOJ</t>
  </si>
  <si>
    <t>Salary</t>
  </si>
  <si>
    <t>Mobile NO</t>
  </si>
  <si>
    <t>State</t>
  </si>
  <si>
    <t>City</t>
  </si>
  <si>
    <t>Haryana</t>
  </si>
  <si>
    <t>Gurgaon</t>
  </si>
  <si>
    <t>Rohtak</t>
  </si>
  <si>
    <t>Sonipath</t>
  </si>
  <si>
    <t>Maharashtra</t>
  </si>
  <si>
    <t>Mumbai</t>
  </si>
  <si>
    <t>Pune</t>
  </si>
  <si>
    <t>Ctrl + Shift + #</t>
  </si>
  <si>
    <t>Date Format</t>
  </si>
  <si>
    <t>Countryy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</si>
</sst>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dd/mm/yyyy\ hh:mm:ss"/>
    <numFmt numFmtId="165" formatCode="[$-F800]dddd\,\ mmmm\ dd\,\ yyyy"/>
    <numFmt numFmtId="166" formatCode="_ * #,##0_ ;_ * \-#,##0_ ;_ * &quot;-&quot;??_ ;_ @_ "/>
    <numFmt numFmtId="167" formatCode="0.0_ ;[Red]\-0.0\ "/>
    <numFmt numFmtId="168" formatCode="#,##0.00;[Blue]\-#,##0.00"/>
  </numFmts>
  <fonts count="27" x14ac:knownFonts="1">
    <font>
      <sz val="11"/>
      <color theme="1"/>
      <name val="Calibri"/>
      <family val="2"/>
      <scheme val="minor"/>
    </font>
    <font>
      <b/>
      <sz val="11"/>
      <color theme="1"/>
      <name val="Calibri"/>
      <family val="2"/>
      <scheme val="minor"/>
    </font>
    <font>
      <b/>
      <sz val="12"/>
      <color theme="0"/>
      <name val="Tahoma"/>
      <family val="2"/>
    </font>
    <font>
      <b/>
      <sz val="10"/>
      <color theme="0"/>
      <name val="Tahoma"/>
      <family val="2"/>
    </font>
    <font>
      <b/>
      <sz val="12"/>
      <color theme="1"/>
      <name val="Calibri"/>
      <family val="2"/>
      <scheme val="minor"/>
    </font>
    <font>
      <sz val="10"/>
      <name val="Arial"/>
      <family val="2"/>
    </font>
    <font>
      <i/>
      <sz val="11"/>
      <color theme="1"/>
      <name val="Calibri"/>
      <family val="2"/>
      <scheme val="minor"/>
    </font>
    <font>
      <u/>
      <sz val="11"/>
      <color theme="10"/>
      <name val="Calibri"/>
      <family val="2"/>
      <scheme val="minor"/>
    </font>
    <font>
      <b/>
      <sz val="11"/>
      <color theme="0"/>
      <name val="Calibri"/>
      <family val="2"/>
      <scheme val="minor"/>
    </font>
    <font>
      <sz val="11"/>
      <color rgb="FF000000"/>
      <name val="Calibri"/>
      <family val="2"/>
      <scheme val="minor"/>
    </font>
    <font>
      <b/>
      <i/>
      <sz val="11"/>
      <color theme="1"/>
      <name val="Calibri"/>
      <family val="2"/>
      <scheme val="minor"/>
    </font>
    <font>
      <b/>
      <i/>
      <u/>
      <sz val="11"/>
      <color theme="1"/>
      <name val="Calibri"/>
      <family val="2"/>
      <scheme val="minor"/>
    </font>
    <font>
      <b/>
      <sz val="10"/>
      <name val="Arial"/>
      <family val="2"/>
    </font>
    <font>
      <i/>
      <sz val="8"/>
      <color theme="1"/>
      <name val="Calibri"/>
      <family val="2"/>
      <scheme val="minor"/>
    </font>
    <font>
      <sz val="8"/>
      <color theme="1"/>
      <name val="Arial"/>
      <family val="2"/>
    </font>
    <font>
      <b/>
      <sz val="9"/>
      <color rgb="FFFFFFFF"/>
      <name val="Arial"/>
      <family val="2"/>
    </font>
    <font>
      <sz val="10"/>
      <color theme="1"/>
      <name val="Calibri"/>
      <family val="2"/>
      <scheme val="minor"/>
    </font>
    <font>
      <sz val="8"/>
      <color theme="1"/>
      <name val="Calibri"/>
      <family val="2"/>
      <scheme val="minor"/>
    </font>
    <font>
      <b/>
      <sz val="10"/>
      <color theme="0"/>
      <name val="Calibri"/>
      <family val="2"/>
      <scheme val="minor"/>
    </font>
    <font>
      <sz val="11"/>
      <color theme="1"/>
      <name val="Calibri"/>
      <family val="2"/>
      <scheme val="minor"/>
    </font>
    <font>
      <sz val="12"/>
      <color theme="1"/>
      <name val="Calibri"/>
      <family val="2"/>
      <scheme val="minor"/>
    </font>
    <font>
      <sz val="10"/>
      <name val="Verdana"/>
      <family val="2"/>
    </font>
    <font>
      <b/>
      <i/>
      <u/>
      <sz val="28"/>
      <color theme="5"/>
      <name val="Calibri"/>
      <family val="2"/>
      <scheme val="minor"/>
    </font>
    <font>
      <b/>
      <i/>
      <u/>
      <sz val="12"/>
      <color theme="1"/>
      <name val="Calibri"/>
      <family val="2"/>
      <scheme val="minor"/>
    </font>
    <font>
      <strike/>
      <sz val="11"/>
      <color theme="1"/>
      <name val="Calibri"/>
      <family val="2"/>
      <scheme val="minor"/>
    </font>
    <font>
      <vertAlign val="superscript"/>
      <sz val="11"/>
      <color theme="1"/>
      <name val="Calibri"/>
      <family val="2"/>
      <scheme val="minor"/>
    </font>
    <font>
      <vertAlign val="subscript"/>
      <sz val="11"/>
      <color theme="1"/>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6" tint="0.79998168889431442"/>
        <bgColor indexed="64"/>
      </patternFill>
    </fill>
    <fill>
      <patternFill patternType="solid">
        <fgColor theme="6" tint="-0.499984740745262"/>
        <bgColor indexed="64"/>
      </patternFill>
    </fill>
    <fill>
      <patternFill patternType="solid">
        <fgColor rgb="FF676767"/>
        <bgColor indexed="64"/>
      </patternFill>
    </fill>
    <fill>
      <patternFill patternType="solid">
        <fgColor theme="2" tint="-0.749992370372631"/>
        <bgColor indexed="64"/>
      </patternFill>
    </fill>
    <fill>
      <patternFill patternType="solid">
        <fgColor rgb="FFFFC000"/>
        <bgColor indexed="64"/>
      </patternFill>
    </fill>
    <fill>
      <patternFill patternType="solid">
        <fgColor rgb="FFFFFF00"/>
        <bgColor indexed="64"/>
      </patternFill>
    </fill>
    <fill>
      <patternFill patternType="solid">
        <fgColor theme="5" tint="0.79998168889431442"/>
        <bgColor indexed="64"/>
      </patternFill>
    </fill>
    <fill>
      <patternFill patternType="solid">
        <fgColor indexed="13"/>
        <bgColor indexed="64"/>
      </patternFill>
    </fill>
    <fill>
      <patternFill patternType="solid">
        <fgColor theme="5" tint="-0.499984740745262"/>
        <bgColor indexed="64"/>
      </patternFill>
    </fill>
    <fill>
      <patternFill patternType="solid">
        <fgColor rgb="FF474747"/>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theme="5"/>
      </left>
      <right style="hair">
        <color theme="5"/>
      </right>
      <top style="medium">
        <color theme="5"/>
      </top>
      <bottom style="hair">
        <color theme="5"/>
      </bottom>
      <diagonal/>
    </border>
    <border>
      <left style="hair">
        <color theme="5"/>
      </left>
      <right style="medium">
        <color theme="5"/>
      </right>
      <top style="medium">
        <color theme="5"/>
      </top>
      <bottom style="hair">
        <color theme="5"/>
      </bottom>
      <diagonal/>
    </border>
    <border>
      <left style="medium">
        <color theme="5"/>
      </left>
      <right style="hair">
        <color theme="5"/>
      </right>
      <top style="hair">
        <color theme="5"/>
      </top>
      <bottom style="hair">
        <color theme="5"/>
      </bottom>
      <diagonal/>
    </border>
    <border>
      <left style="hair">
        <color theme="5"/>
      </left>
      <right style="medium">
        <color theme="5"/>
      </right>
      <top style="hair">
        <color theme="5"/>
      </top>
      <bottom style="hair">
        <color theme="5"/>
      </bottom>
      <diagonal/>
    </border>
    <border>
      <left style="medium">
        <color theme="5"/>
      </left>
      <right style="hair">
        <color theme="5"/>
      </right>
      <top style="hair">
        <color theme="5"/>
      </top>
      <bottom style="medium">
        <color theme="5"/>
      </bottom>
      <diagonal/>
    </border>
    <border>
      <left style="hair">
        <color theme="5"/>
      </left>
      <right style="medium">
        <color theme="5"/>
      </right>
      <top style="hair">
        <color theme="5"/>
      </top>
      <bottom style="medium">
        <color theme="5"/>
      </bottom>
      <diagonal/>
    </border>
    <border>
      <left style="medium">
        <color theme="5"/>
      </left>
      <right/>
      <top style="medium">
        <color theme="5"/>
      </top>
      <bottom/>
      <diagonal/>
    </border>
    <border>
      <left/>
      <right/>
      <top style="medium">
        <color theme="5"/>
      </top>
      <bottom/>
      <diagonal/>
    </border>
    <border>
      <left/>
      <right style="medium">
        <color theme="5"/>
      </right>
      <top style="medium">
        <color theme="5"/>
      </top>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top/>
      <bottom style="medium">
        <color theme="5"/>
      </bottom>
      <diagonal/>
    </border>
    <border>
      <left/>
      <right style="medium">
        <color theme="5"/>
      </right>
      <top/>
      <bottom style="medium">
        <color theme="5"/>
      </bottom>
      <diagonal/>
    </border>
  </borders>
  <cellStyleXfs count="4">
    <xf numFmtId="0" fontId="0" fillId="0" borderId="0"/>
    <xf numFmtId="0" fontId="7" fillId="0" borderId="0" applyNumberFormat="0" applyFill="0" applyBorder="0" applyAlignment="0" applyProtection="0"/>
    <xf numFmtId="43" fontId="19" fillId="0" borderId="0" applyFont="0" applyFill="0" applyBorder="0" applyAlignment="0" applyProtection="0"/>
    <xf numFmtId="0" fontId="21" fillId="0" borderId="0"/>
  </cellStyleXfs>
  <cellXfs count="142">
    <xf numFmtId="0" fontId="0" fillId="0" borderId="0" xfId="0"/>
    <xf numFmtId="0" fontId="1" fillId="0" borderId="0" xfId="0" applyFont="1"/>
    <xf numFmtId="0" fontId="0" fillId="2" borderId="0" xfId="0" applyFill="1"/>
    <xf numFmtId="0" fontId="0" fillId="3" borderId="2" xfId="0" applyFill="1" applyBorder="1"/>
    <xf numFmtId="0" fontId="0" fillId="3" borderId="3" xfId="0" applyFill="1" applyBorder="1"/>
    <xf numFmtId="0" fontId="0" fillId="3" borderId="4" xfId="0" applyFill="1" applyBorder="1"/>
    <xf numFmtId="0" fontId="1" fillId="3" borderId="0" xfId="0" applyFont="1" applyFill="1" applyAlignment="1">
      <alignment horizontal="center"/>
    </xf>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1" fillId="3" borderId="0" xfId="0" applyFont="1" applyFill="1"/>
    <xf numFmtId="0" fontId="0" fillId="0" borderId="0" xfId="0" applyAlignment="1">
      <alignment wrapText="1"/>
    </xf>
    <xf numFmtId="0" fontId="4" fillId="0" borderId="0" xfId="0" applyFont="1"/>
    <xf numFmtId="0" fontId="1" fillId="3" borderId="1" xfId="0" applyFont="1" applyFill="1" applyBorder="1"/>
    <xf numFmtId="0" fontId="1" fillId="3" borderId="4" xfId="0" applyFont="1" applyFill="1" applyBorder="1" applyAlignment="1">
      <alignment horizontal="center"/>
    </xf>
    <xf numFmtId="0" fontId="5" fillId="0" borderId="0" xfId="0" applyFont="1"/>
    <xf numFmtId="0" fontId="0" fillId="0" borderId="0" xfId="0" applyProtection="1">
      <protection hidden="1"/>
    </xf>
    <xf numFmtId="0" fontId="1" fillId="3" borderId="7" xfId="0" quotePrefix="1" applyFont="1" applyFill="1" applyBorder="1" applyAlignment="1">
      <alignment horizontal="center"/>
    </xf>
    <xf numFmtId="3" fontId="0" fillId="3" borderId="0" xfId="0" applyNumberFormat="1" applyFill="1"/>
    <xf numFmtId="0" fontId="6" fillId="0" borderId="0" xfId="0" applyFont="1"/>
    <xf numFmtId="0" fontId="1" fillId="3" borderId="4" xfId="0" applyFont="1" applyFill="1" applyBorder="1"/>
    <xf numFmtId="15" fontId="0" fillId="3" borderId="0" xfId="0" applyNumberFormat="1" applyFill="1"/>
    <xf numFmtId="1" fontId="0" fillId="3" borderId="0" xfId="0" applyNumberFormat="1" applyFill="1"/>
    <xf numFmtId="1" fontId="0" fillId="3" borderId="0" xfId="0" quotePrefix="1" applyNumberFormat="1" applyFill="1"/>
    <xf numFmtId="0" fontId="1" fillId="3" borderId="0" xfId="0" applyFont="1" applyFill="1" applyAlignment="1">
      <alignment horizontal="left"/>
    </xf>
    <xf numFmtId="0" fontId="0" fillId="3" borderId="0" xfId="0" applyFill="1" applyAlignment="1">
      <alignment horizontal="left"/>
    </xf>
    <xf numFmtId="0" fontId="1" fillId="3" borderId="0" xfId="0" applyFont="1" applyFill="1" applyAlignment="1">
      <alignment horizontal="right"/>
    </xf>
    <xf numFmtId="0" fontId="1" fillId="3" borderId="2" xfId="0" applyFont="1" applyFill="1" applyBorder="1"/>
    <xf numFmtId="0" fontId="1" fillId="0" borderId="0" xfId="0" applyFont="1" applyProtection="1">
      <protection hidden="1"/>
    </xf>
    <xf numFmtId="4" fontId="0" fillId="0" borderId="0" xfId="0" applyNumberFormat="1"/>
    <xf numFmtId="0" fontId="7" fillId="0" borderId="0" xfId="1" applyProtection="1">
      <protection hidden="1"/>
    </xf>
    <xf numFmtId="0" fontId="0" fillId="0" borderId="0" xfId="0" applyAlignment="1">
      <alignment vertical="top" wrapText="1"/>
    </xf>
    <xf numFmtId="0" fontId="9" fillId="0" borderId="0" xfId="0" applyFont="1"/>
    <xf numFmtId="0" fontId="10" fillId="0" borderId="0" xfId="0" applyFont="1"/>
    <xf numFmtId="0" fontId="11" fillId="0" borderId="0" xfId="0" applyFont="1"/>
    <xf numFmtId="0" fontId="0" fillId="0" borderId="0" xfId="0" quotePrefix="1"/>
    <xf numFmtId="0" fontId="1" fillId="0" borderId="0" xfId="0" quotePrefix="1" applyFont="1"/>
    <xf numFmtId="0" fontId="6" fillId="0" borderId="0" xfId="0" quotePrefix="1" applyFont="1"/>
    <xf numFmtId="0" fontId="12" fillId="0" borderId="0" xfId="0" applyFont="1"/>
    <xf numFmtId="0" fontId="0" fillId="3" borderId="9" xfId="0" applyFill="1" applyBorder="1"/>
    <xf numFmtId="1" fontId="0" fillId="3" borderId="9" xfId="0" quotePrefix="1" applyNumberFormat="1" applyFill="1" applyBorder="1"/>
    <xf numFmtId="0" fontId="8" fillId="4" borderId="9" xfId="0" applyFont="1" applyFill="1" applyBorder="1"/>
    <xf numFmtId="1" fontId="8" fillId="4" borderId="9" xfId="0" quotePrefix="1" applyNumberFormat="1" applyFont="1" applyFill="1" applyBorder="1"/>
    <xf numFmtId="1" fontId="0" fillId="3" borderId="9" xfId="0" applyNumberFormat="1" applyFill="1" applyBorder="1"/>
    <xf numFmtId="0" fontId="1" fillId="3" borderId="0" xfId="0" quotePrefix="1" applyFont="1" applyFill="1"/>
    <xf numFmtId="0" fontId="0" fillId="3" borderId="0" xfId="0" quotePrefix="1" applyFill="1"/>
    <xf numFmtId="0" fontId="13" fillId="3" borderId="0" xfId="0" quotePrefix="1" applyFont="1" applyFill="1"/>
    <xf numFmtId="1" fontId="1" fillId="3" borderId="0" xfId="0" quotePrefix="1" applyNumberFormat="1" applyFont="1" applyFill="1"/>
    <xf numFmtId="164" fontId="0" fillId="3" borderId="0" xfId="0" applyNumberFormat="1" applyFill="1"/>
    <xf numFmtId="14" fontId="0" fillId="3" borderId="0" xfId="0" quotePrefix="1" applyNumberFormat="1" applyFill="1"/>
    <xf numFmtId="0" fontId="10" fillId="0" borderId="0" xfId="0" applyFont="1" applyProtection="1">
      <protection hidden="1"/>
    </xf>
    <xf numFmtId="0" fontId="14" fillId="0" borderId="9" xfId="0" applyFont="1" applyBorder="1" applyAlignment="1">
      <alignment vertical="center" wrapText="1"/>
    </xf>
    <xf numFmtId="0" fontId="15" fillId="5" borderId="9" xfId="0" applyFont="1" applyFill="1" applyBorder="1" applyAlignment="1">
      <alignment horizontal="center" vertical="center" wrapText="1"/>
    </xf>
    <xf numFmtId="14" fontId="0" fillId="3" borderId="4" xfId="0" applyNumberFormat="1" applyFill="1" applyBorder="1"/>
    <xf numFmtId="14" fontId="0" fillId="3" borderId="4" xfId="0" applyNumberFormat="1" applyFill="1" applyBorder="1" applyAlignment="1">
      <alignment horizontal="center"/>
    </xf>
    <xf numFmtId="15" fontId="0" fillId="3" borderId="4" xfId="0" applyNumberFormat="1" applyFill="1" applyBorder="1" applyAlignment="1">
      <alignment horizontal="center"/>
    </xf>
    <xf numFmtId="0" fontId="16" fillId="3" borderId="0" xfId="0" quotePrefix="1" applyFont="1" applyFill="1"/>
    <xf numFmtId="19" fontId="0" fillId="3" borderId="0" xfId="0" quotePrefix="1" applyNumberFormat="1" applyFill="1"/>
    <xf numFmtId="15" fontId="0" fillId="3" borderId="4" xfId="0" quotePrefix="1" applyNumberFormat="1" applyFill="1" applyBorder="1" applyAlignment="1">
      <alignment horizontal="center"/>
    </xf>
    <xf numFmtId="0" fontId="17" fillId="0" borderId="9" xfId="0" applyFont="1" applyBorder="1"/>
    <xf numFmtId="0" fontId="18" fillId="6" borderId="9" xfId="0" applyFont="1" applyFill="1" applyBorder="1"/>
    <xf numFmtId="15" fontId="0" fillId="0" borderId="0" xfId="0" applyNumberFormat="1"/>
    <xf numFmtId="15" fontId="1" fillId="0" borderId="0" xfId="0" applyNumberFormat="1" applyFont="1"/>
    <xf numFmtId="3" fontId="0" fillId="0" borderId="0" xfId="0" applyNumberFormat="1"/>
    <xf numFmtId="14" fontId="0" fillId="0" borderId="0" xfId="0" applyNumberFormat="1"/>
    <xf numFmtId="14" fontId="0" fillId="0" borderId="0" xfId="0" applyNumberFormat="1" applyProtection="1">
      <protection hidden="1"/>
    </xf>
    <xf numFmtId="0" fontId="0" fillId="7" borderId="10" xfId="0" applyFill="1" applyBorder="1"/>
    <xf numFmtId="0" fontId="0" fillId="8" borderId="11" xfId="0" applyFill="1" applyBorder="1"/>
    <xf numFmtId="0" fontId="1" fillId="8" borderId="9" xfId="0" applyFont="1" applyFill="1" applyBorder="1"/>
    <xf numFmtId="0" fontId="0" fillId="0" borderId="9" xfId="0" applyBorder="1"/>
    <xf numFmtId="165" fontId="1" fillId="8" borderId="9" xfId="0" applyNumberFormat="1" applyFont="1" applyFill="1" applyBorder="1"/>
    <xf numFmtId="165" fontId="0" fillId="0" borderId="9" xfId="0" applyNumberFormat="1" applyBorder="1"/>
    <xf numFmtId="165" fontId="0" fillId="0" borderId="0" xfId="0" applyNumberFormat="1"/>
    <xf numFmtId="0" fontId="20" fillId="9" borderId="0" xfId="0" applyFont="1" applyFill="1"/>
    <xf numFmtId="0" fontId="20" fillId="0" borderId="0" xfId="0" applyFont="1"/>
    <xf numFmtId="166" fontId="0" fillId="10" borderId="9" xfId="2" applyNumberFormat="1" applyFont="1" applyFill="1" applyBorder="1"/>
    <xf numFmtId="0" fontId="21" fillId="0" borderId="0" xfId="3"/>
    <xf numFmtId="0" fontId="0" fillId="8" borderId="14" xfId="0" applyFill="1" applyBorder="1"/>
    <xf numFmtId="22" fontId="0" fillId="0" borderId="0" xfId="0" applyNumberFormat="1"/>
    <xf numFmtId="20" fontId="0" fillId="0" borderId="0" xfId="0" applyNumberFormat="1"/>
    <xf numFmtId="46" fontId="0" fillId="0" borderId="0" xfId="0" applyNumberFormat="1"/>
    <xf numFmtId="18" fontId="0" fillId="0" borderId="0" xfId="0" applyNumberFormat="1"/>
    <xf numFmtId="14" fontId="0" fillId="3" borderId="0" xfId="0" applyNumberFormat="1" applyFill="1"/>
    <xf numFmtId="21" fontId="0" fillId="0" borderId="0" xfId="0" applyNumberFormat="1"/>
    <xf numFmtId="0" fontId="0" fillId="0" borderId="20" xfId="0" applyBorder="1"/>
    <xf numFmtId="0" fontId="1" fillId="0" borderId="9" xfId="0" applyFont="1" applyBorder="1"/>
    <xf numFmtId="0" fontId="8" fillId="11" borderId="10" xfId="0" applyFont="1" applyFill="1" applyBorder="1"/>
    <xf numFmtId="0" fontId="8" fillId="11" borderId="12" xfId="0" applyFont="1" applyFill="1" applyBorder="1"/>
    <xf numFmtId="0" fontId="8" fillId="11" borderId="11" xfId="0" applyFont="1" applyFill="1" applyBorder="1"/>
    <xf numFmtId="0" fontId="8" fillId="11" borderId="13" xfId="0" applyFont="1" applyFill="1" applyBorder="1"/>
    <xf numFmtId="0" fontId="8" fillId="11" borderId="19" xfId="0" applyFont="1" applyFill="1" applyBorder="1"/>
    <xf numFmtId="0" fontId="8" fillId="11" borderId="15" xfId="0" applyFont="1" applyFill="1" applyBorder="1"/>
    <xf numFmtId="0" fontId="0" fillId="8" borderId="0" xfId="0" applyFill="1"/>
    <xf numFmtId="166" fontId="0" fillId="0" borderId="0" xfId="2" applyNumberFormat="1" applyFont="1"/>
    <xf numFmtId="0" fontId="0" fillId="0" borderId="0" xfId="0" applyAlignment="1">
      <alignment horizontal="center"/>
    </xf>
    <xf numFmtId="0" fontId="23" fillId="0" borderId="0" xfId="0" applyFont="1"/>
    <xf numFmtId="0" fontId="0" fillId="12" borderId="21" xfId="0" applyFill="1" applyBorder="1"/>
    <xf numFmtId="0" fontId="0" fillId="12" borderId="22" xfId="0" applyFill="1" applyBorder="1"/>
    <xf numFmtId="0" fontId="0" fillId="12" borderId="23" xfId="0" applyFill="1" applyBorder="1"/>
    <xf numFmtId="0" fontId="0" fillId="12" borderId="24" xfId="0" applyFill="1" applyBorder="1"/>
    <xf numFmtId="0" fontId="0" fillId="12" borderId="25" xfId="0" applyFill="1" applyBorder="1"/>
    <xf numFmtId="0" fontId="0" fillId="12" borderId="26" xfId="0" applyFill="1" applyBorder="1"/>
    <xf numFmtId="0" fontId="24" fillId="0" borderId="0" xfId="0" applyFont="1" applyAlignment="1">
      <alignment vertical="top"/>
    </xf>
    <xf numFmtId="167" fontId="0" fillId="0" borderId="0" xfId="0" applyNumberFormat="1"/>
    <xf numFmtId="12" fontId="0" fillId="0" borderId="0" xfId="0" applyNumberFormat="1"/>
    <xf numFmtId="168" fontId="0" fillId="0" borderId="0" xfId="0" applyNumberFormat="1"/>
    <xf numFmtId="0" fontId="0" fillId="0" borderId="0" xfId="0" applyAlignment="1">
      <alignment textRotation="180"/>
    </xf>
    <xf numFmtId="1" fontId="0" fillId="0" borderId="0" xfId="0" applyNumberFormat="1"/>
    <xf numFmtId="14" fontId="0" fillId="0" borderId="9" xfId="0" applyNumberFormat="1" applyBorder="1"/>
    <xf numFmtId="15" fontId="0" fillId="8" borderId="0" xfId="0" applyNumberFormat="1" applyFill="1"/>
    <xf numFmtId="15" fontId="0" fillId="0" borderId="0" xfId="0" applyNumberFormat="1" applyProtection="1">
      <protection hidden="1"/>
    </xf>
    <xf numFmtId="0" fontId="22" fillId="2" borderId="0" xfId="0" applyFont="1" applyFill="1" applyAlignment="1">
      <alignment horizontal="center" vertical="center"/>
    </xf>
    <xf numFmtId="0" fontId="0" fillId="0" borderId="0" xfId="0" applyAlignment="1">
      <alignment wrapText="1"/>
    </xf>
    <xf numFmtId="0" fontId="3" fillId="11" borderId="0" xfId="0" applyFont="1" applyFill="1" applyAlignment="1">
      <alignment horizontal="left"/>
    </xf>
    <xf numFmtId="0" fontId="0" fillId="3" borderId="6" xfId="0" quotePrefix="1" applyFill="1" applyBorder="1" applyAlignment="1">
      <alignment horizontal="center"/>
    </xf>
    <xf numFmtId="0" fontId="0" fillId="3" borderId="7" xfId="0" quotePrefix="1" applyFill="1" applyBorder="1" applyAlignment="1">
      <alignment horizontal="center"/>
    </xf>
    <xf numFmtId="0" fontId="3" fillId="11" borderId="0" xfId="0" applyFont="1" applyFill="1" applyAlignment="1" applyProtection="1">
      <alignment horizontal="left"/>
      <protection hidden="1"/>
    </xf>
    <xf numFmtId="0" fontId="14" fillId="0" borderId="9" xfId="0" applyFont="1" applyBorder="1" applyAlignment="1">
      <alignment vertical="center" wrapText="1"/>
    </xf>
    <xf numFmtId="0" fontId="17" fillId="0" borderId="9" xfId="0" applyFont="1" applyBorder="1" applyAlignment="1">
      <alignment horizontal="left"/>
    </xf>
    <xf numFmtId="0" fontId="18" fillId="6" borderId="9" xfId="0" applyFont="1" applyFill="1" applyBorder="1" applyAlignment="1">
      <alignment horizontal="left"/>
    </xf>
    <xf numFmtId="0" fontId="0" fillId="0" borderId="0" xfId="0" applyAlignment="1" applyProtection="1">
      <alignment wrapText="1"/>
      <protection hidden="1"/>
    </xf>
    <xf numFmtId="0" fontId="2" fillId="11" borderId="0" xfId="0" applyFont="1" applyFill="1" applyAlignment="1">
      <alignment horizontal="left"/>
    </xf>
    <xf numFmtId="0" fontId="0" fillId="0" borderId="0" xfId="0" applyAlignment="1">
      <alignment horizontal="left" vertical="center" wrapText="1"/>
    </xf>
    <xf numFmtId="0" fontId="0" fillId="0" borderId="0" xfId="0" applyAlignment="1">
      <alignment horizontal="left" wrapText="1"/>
    </xf>
    <xf numFmtId="0" fontId="8" fillId="11" borderId="15" xfId="0" applyFont="1" applyFill="1" applyBorder="1" applyAlignment="1">
      <alignment horizontal="center" vertical="center" wrapText="1"/>
    </xf>
    <xf numFmtId="0" fontId="8" fillId="11" borderId="18" xfId="0" applyFont="1" applyFill="1" applyBorder="1" applyAlignment="1">
      <alignment horizontal="center" vertical="center" wrapText="1"/>
    </xf>
    <xf numFmtId="0" fontId="8" fillId="11" borderId="13" xfId="0" applyFont="1" applyFill="1" applyBorder="1" applyAlignment="1">
      <alignment horizontal="center"/>
    </xf>
    <xf numFmtId="0" fontId="8" fillId="11" borderId="16" xfId="0" applyFont="1" applyFill="1" applyBorder="1" applyAlignment="1">
      <alignment horizontal="center"/>
    </xf>
    <xf numFmtId="0" fontId="8" fillId="11" borderId="17" xfId="0" applyFont="1" applyFill="1" applyBorder="1" applyAlignment="1">
      <alignment horizontal="center"/>
    </xf>
    <xf numFmtId="0" fontId="0" fillId="0" borderId="0" xfId="0"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0" xfId="0" applyBorder="1"/>
    <xf numFmtId="0" fontId="0" fillId="0" borderId="0" xfId="0"/>
    <xf numFmtId="0" fontId="0" fillId="0" borderId="31" xfId="0" applyBorder="1"/>
    <xf numFmtId="0" fontId="0" fillId="0" borderId="32" xfId="0" applyBorder="1"/>
    <xf numFmtId="0" fontId="0" fillId="0" borderId="33" xfId="0" applyBorder="1"/>
    <xf numFmtId="0" fontId="0" fillId="0" borderId="34" xfId="0" applyBorder="1"/>
  </cellXfs>
  <cellStyles count="4">
    <cellStyle name="Comma" xfId="2" builtinId="3"/>
    <cellStyle name="Hyperlink" xfId="1" builtinId="8"/>
    <cellStyle name="Normal" xfId="0" builtinId="0"/>
    <cellStyle name="Normal_Sheet2" xfId="3" xr:uid="{00000000-0005-0000-0000-000003000000}"/>
  </cellStyles>
  <dxfs count="0"/>
  <tableStyles count="0" defaultTableStyle="TableStyleMedium9" defaultPivotStyle="PivotStyleLight16"/>
  <colors>
    <mruColors>
      <color rgb="FF474747"/>
      <color rgb="FFFF6600"/>
      <color rgb="FFFFC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8" Type="http://schemas.openxmlformats.org/officeDocument/2006/relationships/hyperlink" Target="#Networkdays!A1"/><Relationship Id="rId3" Type="http://schemas.openxmlformats.org/officeDocument/2006/relationships/hyperlink" Target="#'Year,Month&amp;Day'!A1"/><Relationship Id="rId7" Type="http://schemas.openxmlformats.org/officeDocument/2006/relationships/hyperlink" Target="#Weekday!A1"/><Relationship Id="rId2" Type="http://schemas.openxmlformats.org/officeDocument/2006/relationships/hyperlink" Target="#'Array Functions'!A1"/><Relationship Id="rId1" Type="http://schemas.openxmlformats.org/officeDocument/2006/relationships/image" Target="../media/image1.png"/><Relationship Id="rId6" Type="http://schemas.openxmlformats.org/officeDocument/2006/relationships/hyperlink" Target="#'Date &amp; Time'!A1"/><Relationship Id="rId11" Type="http://schemas.openxmlformats.org/officeDocument/2006/relationships/hyperlink" Target="#Validation!A1"/><Relationship Id="rId5" Type="http://schemas.openxmlformats.org/officeDocument/2006/relationships/hyperlink" Target="#'Database Functions'!A1"/><Relationship Id="rId10" Type="http://schemas.openxmlformats.org/officeDocument/2006/relationships/hyperlink" Target="#'Today &amp; Now'!A1"/><Relationship Id="rId4" Type="http://schemas.openxmlformats.org/officeDocument/2006/relationships/hyperlink" Target="#'Hour,Minute and Second'!A1"/><Relationship Id="rId9" Type="http://schemas.openxmlformats.org/officeDocument/2006/relationships/hyperlink" Target="#WeekNum!A1"/></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Home!A1"/><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1" Type="http://schemas.openxmlformats.org/officeDocument/2006/relationships/hyperlink" Target="#Home!A1"/></Relationships>
</file>

<file path=xl/drawings/_rels/drawing5.xml.rels><?xml version="1.0" encoding="UTF-8" standalone="yes"?>
<Relationships xmlns="http://schemas.openxmlformats.org/package/2006/relationships"><Relationship Id="rId1" Type="http://schemas.openxmlformats.org/officeDocument/2006/relationships/hyperlink" Target="#Home!A1"/></Relationships>
</file>

<file path=xl/drawings/_rels/drawing6.xml.rels><?xml version="1.0" encoding="UTF-8" standalone="yes"?>
<Relationships xmlns="http://schemas.openxmlformats.org/package/2006/relationships"><Relationship Id="rId1" Type="http://schemas.openxmlformats.org/officeDocument/2006/relationships/hyperlink" Target="#Home!A1"/></Relationships>
</file>

<file path=xl/drawings/_rels/drawing7.xml.rels><?xml version="1.0" encoding="UTF-8" standalone="yes"?>
<Relationships xmlns="http://schemas.openxmlformats.org/package/2006/relationships"><Relationship Id="rId1" Type="http://schemas.openxmlformats.org/officeDocument/2006/relationships/hyperlink" Target="#Home!A1"/></Relationships>
</file>

<file path=xl/drawings/_rels/drawing8.xml.rels><?xml version="1.0" encoding="UTF-8" standalone="yes"?>
<Relationships xmlns="http://schemas.openxmlformats.org/package/2006/relationships"><Relationship Id="rId1" Type="http://schemas.openxmlformats.org/officeDocument/2006/relationships/hyperlink" Target="#Home!A1"/></Relationships>
</file>

<file path=xl/drawings/_rels/drawing9.xml.rels><?xml version="1.0" encoding="UTF-8" standalone="yes"?>
<Relationships xmlns="http://schemas.openxmlformats.org/package/2006/relationships"><Relationship Id="rId1" Type="http://schemas.openxmlformats.org/officeDocument/2006/relationships/hyperlink" Target="#Home!A1"/></Relationships>
</file>

<file path=xl/drawings/_rels/drawing10.xml.rels><?xml version="1.0" encoding="UTF-8" standalone="yes"?>
<Relationships xmlns="http://schemas.openxmlformats.org/package/2006/relationships"><Relationship Id="rId1" Type="http://schemas.openxmlformats.org/officeDocument/2006/relationships/hyperlink" Target="#Home!A1"/></Relationships>
</file>

<file path=xl/drawings/_rels/drawing11.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8.pn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png"/><Relationship Id="rId2" Type="http://schemas.openxmlformats.org/officeDocument/2006/relationships/image" Target="../media/image7.png"/><Relationship Id="rId1" Type="http://schemas.openxmlformats.org/officeDocument/2006/relationships/hyperlink" Target="#Home!A1"/><Relationship Id="rId6" Type="http://schemas.openxmlformats.org/officeDocument/2006/relationships/image" Target="../media/image11.pn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editAs="oneCell">
    <xdr:from>
      <xdr:col>0</xdr:col>
      <xdr:colOff>76089</xdr:colOff>
      <xdr:row>0</xdr:row>
      <xdr:rowOff>76832</xdr:rowOff>
    </xdr:from>
    <xdr:to>
      <xdr:col>3</xdr:col>
      <xdr:colOff>526676</xdr:colOff>
      <xdr:row>4</xdr:row>
      <xdr:rowOff>96860</xdr:rowOff>
    </xdr:to>
    <xdr:pic>
      <xdr:nvPicPr>
        <xdr:cNvPr id="3" name="Picture 2" descr="F1MACRO LOGO11JPG.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76089" y="76832"/>
          <a:ext cx="2287551" cy="877278"/>
        </a:xfrm>
        <a:prstGeom prst="rect">
          <a:avLst/>
        </a:prstGeom>
        <a:noFill/>
      </xdr:spPr>
    </xdr:pic>
    <xdr:clientData/>
  </xdr:twoCellAnchor>
  <xdr:twoCellAnchor>
    <xdr:from>
      <xdr:col>1</xdr:col>
      <xdr:colOff>164085</xdr:colOff>
      <xdr:row>5</xdr:row>
      <xdr:rowOff>181928</xdr:rowOff>
    </xdr:from>
    <xdr:to>
      <xdr:col>5</xdr:col>
      <xdr:colOff>126799</xdr:colOff>
      <xdr:row>8</xdr:row>
      <xdr:rowOff>136821</xdr:rowOff>
    </xdr:to>
    <xdr:sp macro="" textlink="">
      <xdr:nvSpPr>
        <xdr:cNvPr id="5" name="Rounded Rectangle 4">
          <a:hlinkClick xmlns:r="http://schemas.openxmlformats.org/officeDocument/2006/relationships" r:id="rId2" tooltip="Click to view to learn about Array Functions"/>
          <a:extLst>
            <a:ext uri="{FF2B5EF4-FFF2-40B4-BE49-F238E27FC236}">
              <a16:creationId xmlns:a16="http://schemas.microsoft.com/office/drawing/2014/main" id="{00000000-0008-0000-0000-000005000000}"/>
            </a:ext>
          </a:extLst>
        </xdr:cNvPr>
        <xdr:cNvSpPr/>
      </xdr:nvSpPr>
      <xdr:spPr>
        <a:xfrm>
          <a:off x="776406" y="2086928"/>
          <a:ext cx="2412000" cy="540000"/>
        </a:xfrm>
        <a:prstGeom prst="roundRect">
          <a:avLst/>
        </a:prstGeom>
        <a:solidFill>
          <a:schemeClr val="accent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en-IN" sz="1200" b="1">
              <a:solidFill>
                <a:schemeClr val="bg1"/>
              </a:solidFill>
            </a:rPr>
            <a:t>Array Function</a:t>
          </a:r>
        </a:p>
      </xdr:txBody>
    </xdr:sp>
    <xdr:clientData/>
  </xdr:twoCellAnchor>
  <xdr:twoCellAnchor>
    <xdr:from>
      <xdr:col>1</xdr:col>
      <xdr:colOff>164085</xdr:colOff>
      <xdr:row>15</xdr:row>
      <xdr:rowOff>35667</xdr:rowOff>
    </xdr:from>
    <xdr:to>
      <xdr:col>5</xdr:col>
      <xdr:colOff>126799</xdr:colOff>
      <xdr:row>18</xdr:row>
      <xdr:rowOff>4167</xdr:rowOff>
    </xdr:to>
    <xdr:sp macro="" textlink="">
      <xdr:nvSpPr>
        <xdr:cNvPr id="12" name="Rounded Rectangle 11">
          <a:hlinkClick xmlns:r="http://schemas.openxmlformats.org/officeDocument/2006/relationships" r:id="rId3" tooltip="Click to view to learn about Sumifs Function"/>
          <a:extLst>
            <a:ext uri="{FF2B5EF4-FFF2-40B4-BE49-F238E27FC236}">
              <a16:creationId xmlns:a16="http://schemas.microsoft.com/office/drawing/2014/main" id="{00000000-0008-0000-0000-00000C000000}"/>
            </a:ext>
          </a:extLst>
        </xdr:cNvPr>
        <xdr:cNvSpPr/>
      </xdr:nvSpPr>
      <xdr:spPr>
        <a:xfrm>
          <a:off x="776406" y="3859274"/>
          <a:ext cx="2412000" cy="540000"/>
        </a:xfrm>
        <a:prstGeom prst="roundRect">
          <a:avLst/>
        </a:prstGeom>
        <a:solidFill>
          <a:schemeClr val="accent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en-IN" sz="1200" b="1">
              <a:solidFill>
                <a:schemeClr val="bg1"/>
              </a:solidFill>
            </a:rPr>
            <a:t>Year,</a:t>
          </a:r>
          <a:r>
            <a:rPr lang="en-IN" sz="1200" b="1" baseline="0">
              <a:solidFill>
                <a:schemeClr val="bg1"/>
              </a:solidFill>
            </a:rPr>
            <a:t>Month, Day</a:t>
          </a:r>
          <a:endParaRPr lang="en-IN" sz="1200" b="1">
            <a:solidFill>
              <a:schemeClr val="bg1"/>
            </a:solidFill>
          </a:endParaRPr>
        </a:p>
      </xdr:txBody>
    </xdr:sp>
    <xdr:clientData/>
  </xdr:twoCellAnchor>
  <xdr:twoCellAnchor>
    <xdr:from>
      <xdr:col>1</xdr:col>
      <xdr:colOff>164085</xdr:colOff>
      <xdr:row>19</xdr:row>
      <xdr:rowOff>159840</xdr:rowOff>
    </xdr:from>
    <xdr:to>
      <xdr:col>5</xdr:col>
      <xdr:colOff>126799</xdr:colOff>
      <xdr:row>22</xdr:row>
      <xdr:rowOff>128340</xdr:rowOff>
    </xdr:to>
    <xdr:sp macro="" textlink="">
      <xdr:nvSpPr>
        <xdr:cNvPr id="13" name="Rounded Rectangle 12">
          <a:hlinkClick xmlns:r="http://schemas.openxmlformats.org/officeDocument/2006/relationships" r:id="rId4" tooltip="Click to view to learn about Hour, Minute and Second Function"/>
          <a:extLst>
            <a:ext uri="{FF2B5EF4-FFF2-40B4-BE49-F238E27FC236}">
              <a16:creationId xmlns:a16="http://schemas.microsoft.com/office/drawing/2014/main" id="{00000000-0008-0000-0000-00000D000000}"/>
            </a:ext>
          </a:extLst>
        </xdr:cNvPr>
        <xdr:cNvSpPr/>
      </xdr:nvSpPr>
      <xdr:spPr>
        <a:xfrm>
          <a:off x="776406" y="4745447"/>
          <a:ext cx="2412000" cy="540000"/>
        </a:xfrm>
        <a:prstGeom prst="roundRect">
          <a:avLst/>
        </a:prstGeom>
        <a:solidFill>
          <a:schemeClr val="accent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en-IN" sz="1200" b="1">
              <a:solidFill>
                <a:schemeClr val="bg1"/>
              </a:solidFill>
            </a:rPr>
            <a:t>Hour,</a:t>
          </a:r>
          <a:r>
            <a:rPr lang="en-IN" sz="1200" b="1" baseline="0">
              <a:solidFill>
                <a:schemeClr val="bg1"/>
              </a:solidFill>
            </a:rPr>
            <a:t> Minute, Second</a:t>
          </a:r>
          <a:endParaRPr lang="en-IN" sz="1200" b="1">
            <a:solidFill>
              <a:schemeClr val="bg1"/>
            </a:solidFill>
          </a:endParaRPr>
        </a:p>
      </xdr:txBody>
    </xdr:sp>
    <xdr:clientData/>
  </xdr:twoCellAnchor>
  <xdr:twoCellAnchor>
    <xdr:from>
      <xdr:col>1</xdr:col>
      <xdr:colOff>164085</xdr:colOff>
      <xdr:row>10</xdr:row>
      <xdr:rowOff>101994</xdr:rowOff>
    </xdr:from>
    <xdr:to>
      <xdr:col>5</xdr:col>
      <xdr:colOff>126799</xdr:colOff>
      <xdr:row>13</xdr:row>
      <xdr:rowOff>70494</xdr:rowOff>
    </xdr:to>
    <xdr:sp macro="" textlink="">
      <xdr:nvSpPr>
        <xdr:cNvPr id="14" name="Rounded Rectangle 13">
          <a:hlinkClick xmlns:r="http://schemas.openxmlformats.org/officeDocument/2006/relationships" r:id="rId5" tooltip="Click to view to learn about Database Function"/>
          <a:extLst>
            <a:ext uri="{FF2B5EF4-FFF2-40B4-BE49-F238E27FC236}">
              <a16:creationId xmlns:a16="http://schemas.microsoft.com/office/drawing/2014/main" id="{00000000-0008-0000-0000-00000E000000}"/>
            </a:ext>
          </a:extLst>
        </xdr:cNvPr>
        <xdr:cNvSpPr/>
      </xdr:nvSpPr>
      <xdr:spPr>
        <a:xfrm>
          <a:off x="776406" y="2973101"/>
          <a:ext cx="2412000" cy="540000"/>
        </a:xfrm>
        <a:prstGeom prst="roundRect">
          <a:avLst/>
        </a:prstGeom>
        <a:solidFill>
          <a:schemeClr val="accent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en-IN" sz="1200" b="1">
              <a:solidFill>
                <a:schemeClr val="bg1"/>
              </a:solidFill>
            </a:rPr>
            <a:t>Database Functions</a:t>
          </a:r>
        </a:p>
      </xdr:txBody>
    </xdr:sp>
    <xdr:clientData/>
  </xdr:twoCellAnchor>
  <xdr:twoCellAnchor>
    <xdr:from>
      <xdr:col>6</xdr:col>
      <xdr:colOff>132531</xdr:colOff>
      <xdr:row>5</xdr:row>
      <xdr:rowOff>181928</xdr:rowOff>
    </xdr:from>
    <xdr:to>
      <xdr:col>10</xdr:col>
      <xdr:colOff>95246</xdr:colOff>
      <xdr:row>8</xdr:row>
      <xdr:rowOff>136821</xdr:rowOff>
    </xdr:to>
    <xdr:sp macro="" textlink="">
      <xdr:nvSpPr>
        <xdr:cNvPr id="16" name="Rounded Rectangle 15">
          <a:hlinkClick xmlns:r="http://schemas.openxmlformats.org/officeDocument/2006/relationships" r:id="rId6" tooltip="Click to view about Date &amp; Time Function"/>
          <a:extLst>
            <a:ext uri="{FF2B5EF4-FFF2-40B4-BE49-F238E27FC236}">
              <a16:creationId xmlns:a16="http://schemas.microsoft.com/office/drawing/2014/main" id="{00000000-0008-0000-0000-000010000000}"/>
            </a:ext>
          </a:extLst>
        </xdr:cNvPr>
        <xdr:cNvSpPr/>
      </xdr:nvSpPr>
      <xdr:spPr>
        <a:xfrm>
          <a:off x="3806460" y="2086928"/>
          <a:ext cx="2412000" cy="540000"/>
        </a:xfrm>
        <a:prstGeom prst="roundRect">
          <a:avLst/>
        </a:prstGeom>
        <a:solidFill>
          <a:schemeClr val="accent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en-IN" sz="1200" b="1">
              <a:solidFill>
                <a:schemeClr val="bg1"/>
              </a:solidFill>
            </a:rPr>
            <a:t>Date &amp; Time</a:t>
          </a:r>
        </a:p>
      </xdr:txBody>
    </xdr:sp>
    <xdr:clientData/>
  </xdr:twoCellAnchor>
  <xdr:twoCellAnchor>
    <xdr:from>
      <xdr:col>6</xdr:col>
      <xdr:colOff>118924</xdr:colOff>
      <xdr:row>10</xdr:row>
      <xdr:rowOff>107472</xdr:rowOff>
    </xdr:from>
    <xdr:to>
      <xdr:col>10</xdr:col>
      <xdr:colOff>81639</xdr:colOff>
      <xdr:row>13</xdr:row>
      <xdr:rowOff>75972</xdr:rowOff>
    </xdr:to>
    <xdr:sp macro="" textlink="">
      <xdr:nvSpPr>
        <xdr:cNvPr id="10" name="Rounded Rectangle 9">
          <a:hlinkClick xmlns:r="http://schemas.openxmlformats.org/officeDocument/2006/relationships" r:id="rId7" tooltip="Click to view about WeekDay Function"/>
          <a:extLst>
            <a:ext uri="{FF2B5EF4-FFF2-40B4-BE49-F238E27FC236}">
              <a16:creationId xmlns:a16="http://schemas.microsoft.com/office/drawing/2014/main" id="{00000000-0008-0000-0000-00000A000000}"/>
            </a:ext>
          </a:extLst>
        </xdr:cNvPr>
        <xdr:cNvSpPr/>
      </xdr:nvSpPr>
      <xdr:spPr>
        <a:xfrm>
          <a:off x="3792853" y="2978579"/>
          <a:ext cx="2412000" cy="540000"/>
        </a:xfrm>
        <a:prstGeom prst="roundRect">
          <a:avLst/>
        </a:prstGeom>
        <a:solidFill>
          <a:schemeClr val="accent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en-IN" sz="1200" b="1">
              <a:solidFill>
                <a:schemeClr val="bg1"/>
              </a:solidFill>
            </a:rPr>
            <a:t>Weekday</a:t>
          </a:r>
        </a:p>
      </xdr:txBody>
    </xdr:sp>
    <xdr:clientData/>
  </xdr:twoCellAnchor>
  <xdr:twoCellAnchor>
    <xdr:from>
      <xdr:col>6</xdr:col>
      <xdr:colOff>118924</xdr:colOff>
      <xdr:row>19</xdr:row>
      <xdr:rowOff>176274</xdr:rowOff>
    </xdr:from>
    <xdr:to>
      <xdr:col>10</xdr:col>
      <xdr:colOff>81638</xdr:colOff>
      <xdr:row>22</xdr:row>
      <xdr:rowOff>144774</xdr:rowOff>
    </xdr:to>
    <xdr:sp macro="" textlink="">
      <xdr:nvSpPr>
        <xdr:cNvPr id="11" name="Rounded Rectangle 10">
          <a:hlinkClick xmlns:r="http://schemas.openxmlformats.org/officeDocument/2006/relationships" r:id="rId8" tooltip="Click to learn about Networkday Function"/>
          <a:extLst>
            <a:ext uri="{FF2B5EF4-FFF2-40B4-BE49-F238E27FC236}">
              <a16:creationId xmlns:a16="http://schemas.microsoft.com/office/drawing/2014/main" id="{00000000-0008-0000-0000-00000B000000}"/>
            </a:ext>
          </a:extLst>
        </xdr:cNvPr>
        <xdr:cNvSpPr/>
      </xdr:nvSpPr>
      <xdr:spPr>
        <a:xfrm>
          <a:off x="3792853" y="4761881"/>
          <a:ext cx="2411999" cy="540000"/>
        </a:xfrm>
        <a:prstGeom prst="roundRect">
          <a:avLst/>
        </a:prstGeom>
        <a:solidFill>
          <a:schemeClr val="accent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en-IN" sz="1200" b="1">
              <a:solidFill>
                <a:schemeClr val="bg1"/>
              </a:solidFill>
            </a:rPr>
            <a:t>Networkdays</a:t>
          </a:r>
        </a:p>
      </xdr:txBody>
    </xdr:sp>
    <xdr:clientData/>
  </xdr:twoCellAnchor>
  <xdr:twoCellAnchor>
    <xdr:from>
      <xdr:col>6</xdr:col>
      <xdr:colOff>118924</xdr:colOff>
      <xdr:row>15</xdr:row>
      <xdr:rowOff>46623</xdr:rowOff>
    </xdr:from>
    <xdr:to>
      <xdr:col>10</xdr:col>
      <xdr:colOff>81639</xdr:colOff>
      <xdr:row>18</xdr:row>
      <xdr:rowOff>15123</xdr:rowOff>
    </xdr:to>
    <xdr:sp macro="" textlink="">
      <xdr:nvSpPr>
        <xdr:cNvPr id="17" name="Rounded Rectangle 16">
          <a:hlinkClick xmlns:r="http://schemas.openxmlformats.org/officeDocument/2006/relationships" r:id="rId9" tooltip="Click to learn about Weeknum Function"/>
          <a:extLst>
            <a:ext uri="{FF2B5EF4-FFF2-40B4-BE49-F238E27FC236}">
              <a16:creationId xmlns:a16="http://schemas.microsoft.com/office/drawing/2014/main" id="{00000000-0008-0000-0000-000011000000}"/>
            </a:ext>
          </a:extLst>
        </xdr:cNvPr>
        <xdr:cNvSpPr/>
      </xdr:nvSpPr>
      <xdr:spPr>
        <a:xfrm>
          <a:off x="3792853" y="3870230"/>
          <a:ext cx="2412000" cy="540000"/>
        </a:xfrm>
        <a:prstGeom prst="roundRect">
          <a:avLst/>
        </a:prstGeom>
        <a:solidFill>
          <a:schemeClr val="accent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en-IN" sz="1200" b="1" baseline="0">
              <a:solidFill>
                <a:schemeClr val="bg1"/>
              </a:solidFill>
            </a:rPr>
            <a:t>Weeknum</a:t>
          </a:r>
        </a:p>
      </xdr:txBody>
    </xdr:sp>
    <xdr:clientData/>
  </xdr:twoCellAnchor>
  <xdr:twoCellAnchor>
    <xdr:from>
      <xdr:col>11</xdr:col>
      <xdr:colOff>78442</xdr:colOff>
      <xdr:row>5</xdr:row>
      <xdr:rowOff>178996</xdr:rowOff>
    </xdr:from>
    <xdr:to>
      <xdr:col>15</xdr:col>
      <xdr:colOff>41157</xdr:colOff>
      <xdr:row>8</xdr:row>
      <xdr:rowOff>133889</xdr:rowOff>
    </xdr:to>
    <xdr:sp macro="" textlink="">
      <xdr:nvSpPr>
        <xdr:cNvPr id="18" name="Rounded Rectangle 17">
          <a:hlinkClick xmlns:r="http://schemas.openxmlformats.org/officeDocument/2006/relationships" r:id="rId10" tooltip="Click to learn about Today and Now Function"/>
          <a:extLst>
            <a:ext uri="{FF2B5EF4-FFF2-40B4-BE49-F238E27FC236}">
              <a16:creationId xmlns:a16="http://schemas.microsoft.com/office/drawing/2014/main" id="{00000000-0008-0000-0000-000012000000}"/>
            </a:ext>
          </a:extLst>
        </xdr:cNvPr>
        <xdr:cNvSpPr/>
      </xdr:nvSpPr>
      <xdr:spPr>
        <a:xfrm>
          <a:off x="6734736" y="1333202"/>
          <a:ext cx="2383186" cy="548805"/>
        </a:xfrm>
        <a:prstGeom prst="roundRect">
          <a:avLst/>
        </a:prstGeom>
        <a:solidFill>
          <a:schemeClr val="accent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en-IN" sz="1200" b="1">
              <a:solidFill>
                <a:schemeClr val="bg1"/>
              </a:solidFill>
            </a:rPr>
            <a:t>Today  &amp; Now</a:t>
          </a:r>
        </a:p>
      </xdr:txBody>
    </xdr:sp>
    <xdr:clientData/>
  </xdr:twoCellAnchor>
  <xdr:twoCellAnchor>
    <xdr:from>
      <xdr:col>11</xdr:col>
      <xdr:colOff>78442</xdr:colOff>
      <xdr:row>10</xdr:row>
      <xdr:rowOff>78441</xdr:rowOff>
    </xdr:from>
    <xdr:to>
      <xdr:col>15</xdr:col>
      <xdr:colOff>41171</xdr:colOff>
      <xdr:row>13</xdr:row>
      <xdr:rowOff>52384</xdr:rowOff>
    </xdr:to>
    <xdr:sp macro="" textlink="">
      <xdr:nvSpPr>
        <xdr:cNvPr id="19" name="Rounded Rectangle 17">
          <a:hlinkClick xmlns:r="http://schemas.openxmlformats.org/officeDocument/2006/relationships" r:id="rId11" tooltip="Click to learn about validation"/>
          <a:extLst>
            <a:ext uri="{FF2B5EF4-FFF2-40B4-BE49-F238E27FC236}">
              <a16:creationId xmlns:a16="http://schemas.microsoft.com/office/drawing/2014/main" id="{87DA5609-E695-43AB-9309-CD2E26818D6F}"/>
            </a:ext>
          </a:extLst>
        </xdr:cNvPr>
        <xdr:cNvSpPr/>
      </xdr:nvSpPr>
      <xdr:spPr>
        <a:xfrm>
          <a:off x="6734736" y="2207559"/>
          <a:ext cx="2383200" cy="545443"/>
        </a:xfrm>
        <a:prstGeom prst="roundRect">
          <a:avLst/>
        </a:prstGeom>
        <a:solidFill>
          <a:schemeClr val="accent2">
            <a:lumMod val="5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p>
          <a:pPr algn="ctr"/>
          <a:r>
            <a:rPr lang="en-IN" sz="1200" b="1">
              <a:solidFill>
                <a:schemeClr val="bg1"/>
              </a:solidFill>
            </a:rPr>
            <a:t>Validation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403412</xdr:colOff>
      <xdr:row>2</xdr:row>
      <xdr:rowOff>17929</xdr:rowOff>
    </xdr:from>
    <xdr:to>
      <xdr:col>8</xdr:col>
      <xdr:colOff>119343</xdr:colOff>
      <xdr:row>5</xdr:row>
      <xdr:rowOff>186017</xdr:rowOff>
    </xdr:to>
    <xdr:sp macro="" textlink="">
      <xdr:nvSpPr>
        <xdr:cNvPr id="16" name="Left Arrow 15">
          <a:hlinkClick xmlns:r="http://schemas.openxmlformats.org/officeDocument/2006/relationships" r:id="rId1" tooltip="Click to return on Home Tab"/>
          <a:extLst>
            <a:ext uri="{FF2B5EF4-FFF2-40B4-BE49-F238E27FC236}">
              <a16:creationId xmlns:a16="http://schemas.microsoft.com/office/drawing/2014/main" id="{00000000-0008-0000-0100-000010000000}"/>
            </a:ext>
          </a:extLst>
        </xdr:cNvPr>
        <xdr:cNvSpPr/>
      </xdr:nvSpPr>
      <xdr:spPr>
        <a:xfrm>
          <a:off x="9280712" y="398929"/>
          <a:ext cx="1420906" cy="739588"/>
        </a:xfrm>
        <a:prstGeom prst="leftArrow">
          <a:avLst/>
        </a:prstGeom>
        <a:solidFill>
          <a:schemeClr val="accent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400" b="1"/>
            <a:t>Home</a:t>
          </a:r>
        </a:p>
      </xdr:txBody>
    </xdr:sp>
    <xdr:clientData/>
  </xdr:twoCellAnchor>
  <xdr:twoCellAnchor editAs="oneCell">
    <xdr:from>
      <xdr:col>0</xdr:col>
      <xdr:colOff>0</xdr:colOff>
      <xdr:row>9</xdr:row>
      <xdr:rowOff>0</xdr:rowOff>
    </xdr:from>
    <xdr:to>
      <xdr:col>2</xdr:col>
      <xdr:colOff>333375</xdr:colOff>
      <xdr:row>15</xdr:row>
      <xdr:rowOff>114300</xdr:rowOff>
    </xdr:to>
    <xdr:pic>
      <xdr:nvPicPr>
        <xdr:cNvPr id="4" name="Picture 3" descr="Excel Array Formula Example Part1">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24000"/>
          <a:ext cx="307657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0</xdr:rowOff>
    </xdr:from>
    <xdr:to>
      <xdr:col>2</xdr:col>
      <xdr:colOff>333375</xdr:colOff>
      <xdr:row>33</xdr:row>
      <xdr:rowOff>114300</xdr:rowOff>
    </xdr:to>
    <xdr:pic>
      <xdr:nvPicPr>
        <xdr:cNvPr id="5" name="Picture 4" descr="Excel Array Formula Example Part2">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5143500"/>
          <a:ext cx="307657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xdr:row>
      <xdr:rowOff>0</xdr:rowOff>
    </xdr:from>
    <xdr:to>
      <xdr:col>2</xdr:col>
      <xdr:colOff>333375</xdr:colOff>
      <xdr:row>49</xdr:row>
      <xdr:rowOff>104775</xdr:rowOff>
    </xdr:to>
    <xdr:pic>
      <xdr:nvPicPr>
        <xdr:cNvPr id="7" name="Picture 6" descr="Excel Array Formula Example Part2">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8572500"/>
          <a:ext cx="3076575" cy="124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xdr:row>
      <xdr:rowOff>0</xdr:rowOff>
    </xdr:from>
    <xdr:to>
      <xdr:col>1</xdr:col>
      <xdr:colOff>771525</xdr:colOff>
      <xdr:row>95</xdr:row>
      <xdr:rowOff>114300</xdr:rowOff>
    </xdr:to>
    <xdr:pic>
      <xdr:nvPicPr>
        <xdr:cNvPr id="8" name="Picture 7" descr="Excel Array Formula Example">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6954500"/>
          <a:ext cx="2143125"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xdr:row>
      <xdr:rowOff>180975</xdr:rowOff>
    </xdr:from>
    <xdr:to>
      <xdr:col>4</xdr:col>
      <xdr:colOff>1180737</xdr:colOff>
      <xdr:row>95</xdr:row>
      <xdr:rowOff>104618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6"/>
        <a:stretch>
          <a:fillRect/>
        </a:stretch>
      </xdr:blipFill>
      <xdr:spPr>
        <a:xfrm>
          <a:off x="4114800" y="16944975"/>
          <a:ext cx="2904762" cy="12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479612</xdr:colOff>
      <xdr:row>2</xdr:row>
      <xdr:rowOff>8404</xdr:rowOff>
    </xdr:from>
    <xdr:to>
      <xdr:col>15</xdr:col>
      <xdr:colOff>71718</xdr:colOff>
      <xdr:row>6</xdr:row>
      <xdr:rowOff>57150</xdr:rowOff>
    </xdr:to>
    <xdr:sp macro="" textlink="">
      <xdr:nvSpPr>
        <xdr:cNvPr id="6" name="Left Arrow 5">
          <a:hlinkClick xmlns:r="http://schemas.openxmlformats.org/officeDocument/2006/relationships" r:id="rId1" tooltip="Click to return on Home Tab"/>
          <a:extLst>
            <a:ext uri="{FF2B5EF4-FFF2-40B4-BE49-F238E27FC236}">
              <a16:creationId xmlns:a16="http://schemas.microsoft.com/office/drawing/2014/main" id="{00000000-0008-0000-0200-000006000000}"/>
            </a:ext>
          </a:extLst>
        </xdr:cNvPr>
        <xdr:cNvSpPr/>
      </xdr:nvSpPr>
      <xdr:spPr>
        <a:xfrm>
          <a:off x="9556937" y="389404"/>
          <a:ext cx="1420906" cy="810746"/>
        </a:xfrm>
        <a:prstGeom prst="leftArrow">
          <a:avLst/>
        </a:prstGeom>
        <a:solidFill>
          <a:schemeClr val="accent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400" b="1"/>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525532</xdr:colOff>
      <xdr:row>1</xdr:row>
      <xdr:rowOff>69988</xdr:rowOff>
    </xdr:from>
    <xdr:to>
      <xdr:col>10</xdr:col>
      <xdr:colOff>1944100</xdr:colOff>
      <xdr:row>5</xdr:row>
      <xdr:rowOff>108088</xdr:rowOff>
    </xdr:to>
    <xdr:sp macro="" textlink="">
      <xdr:nvSpPr>
        <xdr:cNvPr id="3" name="Left Arrow 2">
          <a:hlinkClick xmlns:r="http://schemas.openxmlformats.org/officeDocument/2006/relationships" r:id="rId1" tooltip="Click to return on Home Tab"/>
          <a:extLst>
            <a:ext uri="{FF2B5EF4-FFF2-40B4-BE49-F238E27FC236}">
              <a16:creationId xmlns:a16="http://schemas.microsoft.com/office/drawing/2014/main" id="{00000000-0008-0000-0300-000003000000}"/>
            </a:ext>
          </a:extLst>
        </xdr:cNvPr>
        <xdr:cNvSpPr/>
      </xdr:nvSpPr>
      <xdr:spPr>
        <a:xfrm>
          <a:off x="8584510" y="260488"/>
          <a:ext cx="1418568" cy="800100"/>
        </a:xfrm>
        <a:prstGeom prst="leftArrow">
          <a:avLst/>
        </a:prstGeom>
        <a:solidFill>
          <a:schemeClr val="accent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400" b="1"/>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404191</xdr:colOff>
      <xdr:row>1</xdr:row>
      <xdr:rowOff>129209</xdr:rowOff>
    </xdr:from>
    <xdr:to>
      <xdr:col>12</xdr:col>
      <xdr:colOff>600246</xdr:colOff>
      <xdr:row>6</xdr:row>
      <xdr:rowOff>53009</xdr:rowOff>
    </xdr:to>
    <xdr:sp macro="" textlink="">
      <xdr:nvSpPr>
        <xdr:cNvPr id="3" name="Left Arrow 2">
          <a:hlinkClick xmlns:r="http://schemas.openxmlformats.org/officeDocument/2006/relationships" r:id="rId1" tooltip="Click to return on Home Tab"/>
          <a:extLst>
            <a:ext uri="{FF2B5EF4-FFF2-40B4-BE49-F238E27FC236}">
              <a16:creationId xmlns:a16="http://schemas.microsoft.com/office/drawing/2014/main" id="{00000000-0008-0000-0400-000003000000}"/>
            </a:ext>
          </a:extLst>
        </xdr:cNvPr>
        <xdr:cNvSpPr/>
      </xdr:nvSpPr>
      <xdr:spPr>
        <a:xfrm>
          <a:off x="8032474" y="319709"/>
          <a:ext cx="1421881" cy="876300"/>
        </a:xfrm>
        <a:prstGeom prst="leftArrow">
          <a:avLst/>
        </a:prstGeom>
        <a:solidFill>
          <a:schemeClr val="accent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400" b="1"/>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271462</xdr:colOff>
      <xdr:row>1</xdr:row>
      <xdr:rowOff>180974</xdr:rowOff>
    </xdr:from>
    <xdr:to>
      <xdr:col>13</xdr:col>
      <xdr:colOff>114300</xdr:colOff>
      <xdr:row>6</xdr:row>
      <xdr:rowOff>9526</xdr:rowOff>
    </xdr:to>
    <xdr:sp macro="" textlink="">
      <xdr:nvSpPr>
        <xdr:cNvPr id="2" name="Left Arrow 1">
          <a:hlinkClick xmlns:r="http://schemas.openxmlformats.org/officeDocument/2006/relationships" r:id="rId1" tooltip="Click to return on Home Tab"/>
          <a:extLst>
            <a:ext uri="{FF2B5EF4-FFF2-40B4-BE49-F238E27FC236}">
              <a16:creationId xmlns:a16="http://schemas.microsoft.com/office/drawing/2014/main" id="{00000000-0008-0000-0500-000002000000}"/>
            </a:ext>
          </a:extLst>
        </xdr:cNvPr>
        <xdr:cNvSpPr/>
      </xdr:nvSpPr>
      <xdr:spPr>
        <a:xfrm>
          <a:off x="9110662" y="371474"/>
          <a:ext cx="1366838" cy="781052"/>
        </a:xfrm>
        <a:prstGeom prst="leftArrow">
          <a:avLst/>
        </a:prstGeom>
        <a:solidFill>
          <a:schemeClr val="accent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400" b="1"/>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485775</xdr:colOff>
      <xdr:row>1</xdr:row>
      <xdr:rowOff>133350</xdr:rowOff>
    </xdr:from>
    <xdr:to>
      <xdr:col>13</xdr:col>
      <xdr:colOff>68917</xdr:colOff>
      <xdr:row>6</xdr:row>
      <xdr:rowOff>0</xdr:rowOff>
    </xdr:to>
    <xdr:sp macro="" textlink="">
      <xdr:nvSpPr>
        <xdr:cNvPr id="2" name="Left Arrow 1">
          <a:hlinkClick xmlns:r="http://schemas.openxmlformats.org/officeDocument/2006/relationships" r:id="rId1" tooltip="Click to return on Home Tab"/>
          <a:extLst>
            <a:ext uri="{FF2B5EF4-FFF2-40B4-BE49-F238E27FC236}">
              <a16:creationId xmlns:a16="http://schemas.microsoft.com/office/drawing/2014/main" id="{00000000-0008-0000-0600-000002000000}"/>
            </a:ext>
          </a:extLst>
        </xdr:cNvPr>
        <xdr:cNvSpPr/>
      </xdr:nvSpPr>
      <xdr:spPr>
        <a:xfrm>
          <a:off x="9267825" y="323850"/>
          <a:ext cx="1411942" cy="819150"/>
        </a:xfrm>
        <a:prstGeom prst="leftArrow">
          <a:avLst/>
        </a:prstGeom>
        <a:solidFill>
          <a:schemeClr val="accent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400" b="1"/>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533400</xdr:colOff>
      <xdr:row>0</xdr:row>
      <xdr:rowOff>47625</xdr:rowOff>
    </xdr:from>
    <xdr:to>
      <xdr:col>14</xdr:col>
      <xdr:colOff>116542</xdr:colOff>
      <xdr:row>4</xdr:row>
      <xdr:rowOff>104775</xdr:rowOff>
    </xdr:to>
    <xdr:sp macro="" textlink="">
      <xdr:nvSpPr>
        <xdr:cNvPr id="2" name="Left Arrow 1">
          <a:hlinkClick xmlns:r="http://schemas.openxmlformats.org/officeDocument/2006/relationships" r:id="rId1" tooltip="Click to return on Home Tab"/>
          <a:extLst>
            <a:ext uri="{FF2B5EF4-FFF2-40B4-BE49-F238E27FC236}">
              <a16:creationId xmlns:a16="http://schemas.microsoft.com/office/drawing/2014/main" id="{00000000-0008-0000-0700-000002000000}"/>
            </a:ext>
          </a:extLst>
        </xdr:cNvPr>
        <xdr:cNvSpPr/>
      </xdr:nvSpPr>
      <xdr:spPr>
        <a:xfrm>
          <a:off x="9801225" y="47625"/>
          <a:ext cx="1411942" cy="819150"/>
        </a:xfrm>
        <a:prstGeom prst="leftArrow">
          <a:avLst/>
        </a:prstGeom>
        <a:solidFill>
          <a:schemeClr val="accent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400" b="1"/>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447675</xdr:colOff>
      <xdr:row>2</xdr:row>
      <xdr:rowOff>9525</xdr:rowOff>
    </xdr:from>
    <xdr:to>
      <xdr:col>14</xdr:col>
      <xdr:colOff>30817</xdr:colOff>
      <xdr:row>6</xdr:row>
      <xdr:rowOff>0</xdr:rowOff>
    </xdr:to>
    <xdr:sp macro="" textlink="">
      <xdr:nvSpPr>
        <xdr:cNvPr id="2" name="Left Arrow 1">
          <a:hlinkClick xmlns:r="http://schemas.openxmlformats.org/officeDocument/2006/relationships" r:id="rId1" tooltip="Click to return on Home Tab"/>
          <a:extLst>
            <a:ext uri="{FF2B5EF4-FFF2-40B4-BE49-F238E27FC236}">
              <a16:creationId xmlns:a16="http://schemas.microsoft.com/office/drawing/2014/main" id="{00000000-0008-0000-0800-000002000000}"/>
            </a:ext>
          </a:extLst>
        </xdr:cNvPr>
        <xdr:cNvSpPr/>
      </xdr:nvSpPr>
      <xdr:spPr>
        <a:xfrm>
          <a:off x="10267950" y="390525"/>
          <a:ext cx="1411942" cy="752475"/>
        </a:xfrm>
        <a:prstGeom prst="leftArrow">
          <a:avLst/>
        </a:prstGeom>
        <a:solidFill>
          <a:schemeClr val="accent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400" b="1"/>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263338</xdr:colOff>
      <xdr:row>0</xdr:row>
      <xdr:rowOff>190500</xdr:rowOff>
    </xdr:from>
    <xdr:to>
      <xdr:col>14</xdr:col>
      <xdr:colOff>162484</xdr:colOff>
      <xdr:row>6</xdr:row>
      <xdr:rowOff>56029</xdr:rowOff>
    </xdr:to>
    <xdr:sp macro="" textlink="">
      <xdr:nvSpPr>
        <xdr:cNvPr id="2" name="Left Arrow 1">
          <a:hlinkClick xmlns:r="http://schemas.openxmlformats.org/officeDocument/2006/relationships" r:id="rId1" tooltip="Click to return on Home Tab"/>
          <a:extLst>
            <a:ext uri="{FF2B5EF4-FFF2-40B4-BE49-F238E27FC236}">
              <a16:creationId xmlns:a16="http://schemas.microsoft.com/office/drawing/2014/main" id="{00000000-0008-0000-0900-000002000000}"/>
            </a:ext>
          </a:extLst>
        </xdr:cNvPr>
        <xdr:cNvSpPr/>
      </xdr:nvSpPr>
      <xdr:spPr>
        <a:xfrm>
          <a:off x="10628779" y="190500"/>
          <a:ext cx="1714499" cy="1019735"/>
        </a:xfrm>
        <a:prstGeom prst="leftArrow">
          <a:avLst/>
        </a:prstGeom>
        <a:solidFill>
          <a:schemeClr val="accent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400" b="1"/>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682438</xdr:colOff>
      <xdr:row>2</xdr:row>
      <xdr:rowOff>28575</xdr:rowOff>
    </xdr:from>
    <xdr:to>
      <xdr:col>11</xdr:col>
      <xdr:colOff>67234</xdr:colOff>
      <xdr:row>7</xdr:row>
      <xdr:rowOff>76760</xdr:rowOff>
    </xdr:to>
    <xdr:sp macro="" textlink="">
      <xdr:nvSpPr>
        <xdr:cNvPr id="2" name="Left Arrow 1">
          <a:hlinkClick xmlns:r="http://schemas.openxmlformats.org/officeDocument/2006/relationships" r:id="rId1" tooltip="Click to return on Home Tab"/>
          <a:extLst>
            <a:ext uri="{FF2B5EF4-FFF2-40B4-BE49-F238E27FC236}">
              <a16:creationId xmlns:a16="http://schemas.microsoft.com/office/drawing/2014/main" id="{93D4595D-77E5-43ED-8F86-CB2C753D3C18}"/>
            </a:ext>
          </a:extLst>
        </xdr:cNvPr>
        <xdr:cNvSpPr/>
      </xdr:nvSpPr>
      <xdr:spPr>
        <a:xfrm>
          <a:off x="8931088" y="419100"/>
          <a:ext cx="1727946" cy="1000685"/>
        </a:xfrm>
        <a:prstGeom prst="leftArrow">
          <a:avLst/>
        </a:prstGeom>
        <a:solidFill>
          <a:schemeClr val="accent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400" b="1"/>
            <a:t>Home</a:t>
          </a:r>
        </a:p>
      </xdr:txBody>
    </xdr:sp>
    <xdr:clientData/>
  </xdr:twoCellAnchor>
  <xdr:oneCellAnchor>
    <xdr:from>
      <xdr:col>0</xdr:col>
      <xdr:colOff>33618</xdr:colOff>
      <xdr:row>5</xdr:row>
      <xdr:rowOff>22412</xdr:rowOff>
    </xdr:from>
    <xdr:ext cx="5747357" cy="1238095"/>
    <xdr:pic>
      <xdr:nvPicPr>
        <xdr:cNvPr id="3" name="Picture 2" descr="excel-data-validation-example.png">
          <a:extLst>
            <a:ext uri="{FF2B5EF4-FFF2-40B4-BE49-F238E27FC236}">
              <a16:creationId xmlns:a16="http://schemas.microsoft.com/office/drawing/2014/main" id="{DC1B469C-3E1A-4CDA-8568-730D5754EE06}"/>
            </a:ext>
          </a:extLst>
        </xdr:cNvPr>
        <xdr:cNvPicPr>
          <a:picLocks noChangeAspect="1"/>
        </xdr:cNvPicPr>
      </xdr:nvPicPr>
      <xdr:blipFill>
        <a:blip xmlns:r="http://schemas.openxmlformats.org/officeDocument/2006/relationships" r:embed="rId2"/>
        <a:stretch>
          <a:fillRect/>
        </a:stretch>
      </xdr:blipFill>
      <xdr:spPr>
        <a:xfrm>
          <a:off x="33618" y="974912"/>
          <a:ext cx="5747357" cy="1238095"/>
        </a:xfrm>
        <a:prstGeom prst="rect">
          <a:avLst/>
        </a:prstGeom>
      </xdr:spPr>
    </xdr:pic>
    <xdr:clientData/>
  </xdr:oneCellAnchor>
  <xdr:oneCellAnchor>
    <xdr:from>
      <xdr:col>0</xdr:col>
      <xdr:colOff>0</xdr:colOff>
      <xdr:row>23</xdr:row>
      <xdr:rowOff>0</xdr:rowOff>
    </xdr:from>
    <xdr:ext cx="3786612" cy="3000000"/>
    <xdr:pic>
      <xdr:nvPicPr>
        <xdr:cNvPr id="4" name="Picture 3" descr="validation-criteria.png">
          <a:extLst>
            <a:ext uri="{FF2B5EF4-FFF2-40B4-BE49-F238E27FC236}">
              <a16:creationId xmlns:a16="http://schemas.microsoft.com/office/drawing/2014/main" id="{2882A4F5-7D7B-44C4-9136-7C82149A4EC6}"/>
            </a:ext>
          </a:extLst>
        </xdr:cNvPr>
        <xdr:cNvPicPr>
          <a:picLocks noChangeAspect="1"/>
        </xdr:cNvPicPr>
      </xdr:nvPicPr>
      <xdr:blipFill>
        <a:blip xmlns:r="http://schemas.openxmlformats.org/officeDocument/2006/relationships" r:embed="rId3"/>
        <a:stretch>
          <a:fillRect/>
        </a:stretch>
      </xdr:blipFill>
      <xdr:spPr>
        <a:xfrm>
          <a:off x="0" y="4381500"/>
          <a:ext cx="3786612" cy="3000000"/>
        </a:xfrm>
        <a:prstGeom prst="rect">
          <a:avLst/>
        </a:prstGeom>
      </xdr:spPr>
    </xdr:pic>
    <xdr:clientData/>
  </xdr:oneCellAnchor>
  <xdr:oneCellAnchor>
    <xdr:from>
      <xdr:col>0</xdr:col>
      <xdr:colOff>0</xdr:colOff>
      <xdr:row>47</xdr:row>
      <xdr:rowOff>0</xdr:rowOff>
    </xdr:from>
    <xdr:ext cx="3786612" cy="3000000"/>
    <xdr:pic>
      <xdr:nvPicPr>
        <xdr:cNvPr id="5" name="Picture 4" descr="enter-input-message.png">
          <a:extLst>
            <a:ext uri="{FF2B5EF4-FFF2-40B4-BE49-F238E27FC236}">
              <a16:creationId xmlns:a16="http://schemas.microsoft.com/office/drawing/2014/main" id="{10EBD1C1-3189-4F5F-8756-06EEDC8A93BD}"/>
            </a:ext>
          </a:extLst>
        </xdr:cNvPr>
        <xdr:cNvPicPr>
          <a:picLocks noChangeAspect="1"/>
        </xdr:cNvPicPr>
      </xdr:nvPicPr>
      <xdr:blipFill>
        <a:blip xmlns:r="http://schemas.openxmlformats.org/officeDocument/2006/relationships" r:embed="rId4"/>
        <a:stretch>
          <a:fillRect/>
        </a:stretch>
      </xdr:blipFill>
      <xdr:spPr>
        <a:xfrm>
          <a:off x="0" y="8953500"/>
          <a:ext cx="3786612" cy="3000000"/>
        </a:xfrm>
        <a:prstGeom prst="rect">
          <a:avLst/>
        </a:prstGeom>
      </xdr:spPr>
    </xdr:pic>
    <xdr:clientData/>
  </xdr:oneCellAnchor>
  <xdr:oneCellAnchor>
    <xdr:from>
      <xdr:col>0</xdr:col>
      <xdr:colOff>0</xdr:colOff>
      <xdr:row>69</xdr:row>
      <xdr:rowOff>0</xdr:rowOff>
    </xdr:from>
    <xdr:ext cx="3786612" cy="3000000"/>
    <xdr:pic>
      <xdr:nvPicPr>
        <xdr:cNvPr id="6" name="Picture 5" descr="enter-error-message.png">
          <a:extLst>
            <a:ext uri="{FF2B5EF4-FFF2-40B4-BE49-F238E27FC236}">
              <a16:creationId xmlns:a16="http://schemas.microsoft.com/office/drawing/2014/main" id="{4FFE11B2-48B8-47F6-BD46-45B2342EE909}"/>
            </a:ext>
          </a:extLst>
        </xdr:cNvPr>
        <xdr:cNvPicPr>
          <a:picLocks noChangeAspect="1"/>
        </xdr:cNvPicPr>
      </xdr:nvPicPr>
      <xdr:blipFill>
        <a:blip xmlns:r="http://schemas.openxmlformats.org/officeDocument/2006/relationships" r:embed="rId5"/>
        <a:stretch>
          <a:fillRect/>
        </a:stretch>
      </xdr:blipFill>
      <xdr:spPr>
        <a:xfrm>
          <a:off x="0" y="13144500"/>
          <a:ext cx="3786612" cy="3000000"/>
        </a:xfrm>
        <a:prstGeom prst="rect">
          <a:avLst/>
        </a:prstGeom>
      </xdr:spPr>
    </xdr:pic>
    <xdr:clientData/>
  </xdr:oneCellAnchor>
  <xdr:oneCellAnchor>
    <xdr:from>
      <xdr:col>0</xdr:col>
      <xdr:colOff>44824</xdr:colOff>
      <xdr:row>89</xdr:row>
      <xdr:rowOff>89647</xdr:rowOff>
    </xdr:from>
    <xdr:ext cx="2900898" cy="1304762"/>
    <xdr:pic>
      <xdr:nvPicPr>
        <xdr:cNvPr id="7" name="Picture 6" descr="error-alert.png">
          <a:extLst>
            <a:ext uri="{FF2B5EF4-FFF2-40B4-BE49-F238E27FC236}">
              <a16:creationId xmlns:a16="http://schemas.microsoft.com/office/drawing/2014/main" id="{8FC135BD-7CB1-42F1-8C26-E129B80CA974}"/>
            </a:ext>
          </a:extLst>
        </xdr:cNvPr>
        <xdr:cNvPicPr>
          <a:picLocks noChangeAspect="1"/>
        </xdr:cNvPicPr>
      </xdr:nvPicPr>
      <xdr:blipFill>
        <a:blip xmlns:r="http://schemas.openxmlformats.org/officeDocument/2006/relationships" r:embed="rId6"/>
        <a:stretch>
          <a:fillRect/>
        </a:stretch>
      </xdr:blipFill>
      <xdr:spPr>
        <a:xfrm>
          <a:off x="44824" y="17044147"/>
          <a:ext cx="2900898" cy="1304762"/>
        </a:xfrm>
        <a:prstGeom prst="rect">
          <a:avLst/>
        </a:prstGeom>
      </xdr:spPr>
    </xdr:pic>
    <xdr:clientData/>
  </xdr:oneCellAnchor>
  <xdr:oneCellAnchor>
    <xdr:from>
      <xdr:col>0</xdr:col>
      <xdr:colOff>22412</xdr:colOff>
      <xdr:row>101</xdr:row>
      <xdr:rowOff>67236</xdr:rowOff>
    </xdr:from>
    <xdr:ext cx="5747357" cy="1771429"/>
    <xdr:pic>
      <xdr:nvPicPr>
        <xdr:cNvPr id="8" name="Picture 7" descr="items.png">
          <a:extLst>
            <a:ext uri="{FF2B5EF4-FFF2-40B4-BE49-F238E27FC236}">
              <a16:creationId xmlns:a16="http://schemas.microsoft.com/office/drawing/2014/main" id="{DE07D9A9-3754-4CA1-9F33-F1A9E72735D5}"/>
            </a:ext>
          </a:extLst>
        </xdr:cNvPr>
        <xdr:cNvPicPr>
          <a:picLocks noChangeAspect="1"/>
        </xdr:cNvPicPr>
      </xdr:nvPicPr>
      <xdr:blipFill>
        <a:blip xmlns:r="http://schemas.openxmlformats.org/officeDocument/2006/relationships" r:embed="rId7"/>
        <a:stretch>
          <a:fillRect/>
        </a:stretch>
      </xdr:blipFill>
      <xdr:spPr>
        <a:xfrm>
          <a:off x="22412" y="19307736"/>
          <a:ext cx="5747357" cy="1771429"/>
        </a:xfrm>
        <a:prstGeom prst="rect">
          <a:avLst/>
        </a:prstGeom>
      </xdr:spPr>
    </xdr:pic>
    <xdr:clientData/>
  </xdr:oneCellAnchor>
  <xdr:oneCellAnchor>
    <xdr:from>
      <xdr:col>0</xdr:col>
      <xdr:colOff>0</xdr:colOff>
      <xdr:row>117</xdr:row>
      <xdr:rowOff>33617</xdr:rowOff>
    </xdr:from>
    <xdr:ext cx="3786612" cy="3000000"/>
    <xdr:pic>
      <xdr:nvPicPr>
        <xdr:cNvPr id="9" name="Picture 8" descr="validation-criteria.png">
          <a:extLst>
            <a:ext uri="{FF2B5EF4-FFF2-40B4-BE49-F238E27FC236}">
              <a16:creationId xmlns:a16="http://schemas.microsoft.com/office/drawing/2014/main" id="{A293C748-2328-414D-AF3C-64486C400399}"/>
            </a:ext>
          </a:extLst>
        </xdr:cNvPr>
        <xdr:cNvPicPr>
          <a:picLocks noChangeAspect="1"/>
        </xdr:cNvPicPr>
      </xdr:nvPicPr>
      <xdr:blipFill>
        <a:blip xmlns:r="http://schemas.openxmlformats.org/officeDocument/2006/relationships" r:embed="rId3"/>
        <a:stretch>
          <a:fillRect/>
        </a:stretch>
      </xdr:blipFill>
      <xdr:spPr>
        <a:xfrm>
          <a:off x="0" y="22322117"/>
          <a:ext cx="3786612" cy="3000000"/>
        </a:xfrm>
        <a:prstGeom prst="rect">
          <a:avLst/>
        </a:prstGeom>
      </xdr:spPr>
    </xdr:pic>
    <xdr:clientData/>
  </xdr:oneCellAnchor>
  <xdr:oneCellAnchor>
    <xdr:from>
      <xdr:col>0</xdr:col>
      <xdr:colOff>0</xdr:colOff>
      <xdr:row>135</xdr:row>
      <xdr:rowOff>112059</xdr:rowOff>
    </xdr:from>
    <xdr:ext cx="3786612" cy="3000000"/>
    <xdr:pic>
      <xdr:nvPicPr>
        <xdr:cNvPr id="10" name="Picture 9" descr="type-items-directly.png">
          <a:extLst>
            <a:ext uri="{FF2B5EF4-FFF2-40B4-BE49-F238E27FC236}">
              <a16:creationId xmlns:a16="http://schemas.microsoft.com/office/drawing/2014/main" id="{A3298274-4217-4F7E-ADE3-1F9457E20122}"/>
            </a:ext>
          </a:extLst>
        </xdr:cNvPr>
        <xdr:cNvPicPr>
          <a:picLocks noChangeAspect="1"/>
        </xdr:cNvPicPr>
      </xdr:nvPicPr>
      <xdr:blipFill>
        <a:blip xmlns:r="http://schemas.openxmlformats.org/officeDocument/2006/relationships" r:embed="rId8"/>
        <a:stretch>
          <a:fillRect/>
        </a:stretch>
      </xdr:blipFill>
      <xdr:spPr>
        <a:xfrm>
          <a:off x="0" y="25829559"/>
          <a:ext cx="3786612" cy="3000000"/>
        </a:xfrm>
        <a:prstGeom prst="rect">
          <a:avLst/>
        </a:prstGeom>
      </xdr:spPr>
    </xdr:pic>
    <xdr:clientData/>
  </xdr:oneCellAnchor>
  <xdr:oneCellAnchor>
    <xdr:from>
      <xdr:col>0</xdr:col>
      <xdr:colOff>44823</xdr:colOff>
      <xdr:row>155</xdr:row>
      <xdr:rowOff>78441</xdr:rowOff>
    </xdr:from>
    <xdr:ext cx="2605660" cy="4666667"/>
    <xdr:pic>
      <xdr:nvPicPr>
        <xdr:cNvPr id="11" name="Picture 10" descr="prevent-duplicate-entries-example.png">
          <a:extLst>
            <a:ext uri="{FF2B5EF4-FFF2-40B4-BE49-F238E27FC236}">
              <a16:creationId xmlns:a16="http://schemas.microsoft.com/office/drawing/2014/main" id="{5DF34E86-3059-456F-9381-4E47CBF729FA}"/>
            </a:ext>
          </a:extLst>
        </xdr:cNvPr>
        <xdr:cNvPicPr>
          <a:picLocks noChangeAspect="1"/>
        </xdr:cNvPicPr>
      </xdr:nvPicPr>
      <xdr:blipFill>
        <a:blip xmlns:r="http://schemas.openxmlformats.org/officeDocument/2006/relationships" r:embed="rId9"/>
        <a:stretch>
          <a:fillRect/>
        </a:stretch>
      </xdr:blipFill>
      <xdr:spPr>
        <a:xfrm>
          <a:off x="44823" y="29605941"/>
          <a:ext cx="2605660" cy="4666667"/>
        </a:xfrm>
        <a:prstGeom prst="rect">
          <a:avLst/>
        </a:prstGeom>
      </xdr:spPr>
    </xdr:pic>
    <xdr:clientData/>
  </xdr:oneCellAnchor>
  <xdr:oneCellAnchor>
    <xdr:from>
      <xdr:col>0</xdr:col>
      <xdr:colOff>22411</xdr:colOff>
      <xdr:row>184</xdr:row>
      <xdr:rowOff>145677</xdr:rowOff>
    </xdr:from>
    <xdr:ext cx="3786612" cy="3000000"/>
    <xdr:pic>
      <xdr:nvPicPr>
        <xdr:cNvPr id="12" name="Picture 11" descr="data-validation-formula.png">
          <a:extLst>
            <a:ext uri="{FF2B5EF4-FFF2-40B4-BE49-F238E27FC236}">
              <a16:creationId xmlns:a16="http://schemas.microsoft.com/office/drawing/2014/main" id="{505F4283-19FB-4114-A121-C98F783A46BE}"/>
            </a:ext>
          </a:extLst>
        </xdr:cNvPr>
        <xdr:cNvPicPr>
          <a:picLocks noChangeAspect="1"/>
        </xdr:cNvPicPr>
      </xdr:nvPicPr>
      <xdr:blipFill>
        <a:blip xmlns:r="http://schemas.openxmlformats.org/officeDocument/2006/relationships" r:embed="rId10"/>
        <a:stretch>
          <a:fillRect/>
        </a:stretch>
      </xdr:blipFill>
      <xdr:spPr>
        <a:xfrm>
          <a:off x="22411" y="35197677"/>
          <a:ext cx="3786612" cy="3000000"/>
        </a:xfrm>
        <a:prstGeom prst="rect">
          <a:avLst/>
        </a:prstGeom>
      </xdr:spPr>
    </xdr:pic>
    <xdr:clientData/>
  </xdr:oneCellAnchor>
  <xdr:oneCellAnchor>
    <xdr:from>
      <xdr:col>0</xdr:col>
      <xdr:colOff>0</xdr:colOff>
      <xdr:row>211</xdr:row>
      <xdr:rowOff>0</xdr:rowOff>
    </xdr:from>
    <xdr:ext cx="5747357" cy="3142857"/>
    <xdr:pic>
      <xdr:nvPicPr>
        <xdr:cNvPr id="13" name="Picture 12" descr="prevent-duplicate-entries-result.png">
          <a:extLst>
            <a:ext uri="{FF2B5EF4-FFF2-40B4-BE49-F238E27FC236}">
              <a16:creationId xmlns:a16="http://schemas.microsoft.com/office/drawing/2014/main" id="{CA0712E3-F323-4B12-AAB3-6CD472EFB6F9}"/>
            </a:ext>
          </a:extLst>
        </xdr:cNvPr>
        <xdr:cNvPicPr>
          <a:picLocks noChangeAspect="1"/>
        </xdr:cNvPicPr>
      </xdr:nvPicPr>
      <xdr:blipFill>
        <a:blip xmlns:r="http://schemas.openxmlformats.org/officeDocument/2006/relationships" r:embed="rId11"/>
        <a:stretch>
          <a:fillRect/>
        </a:stretch>
      </xdr:blipFill>
      <xdr:spPr>
        <a:xfrm>
          <a:off x="0" y="40195500"/>
          <a:ext cx="5747357" cy="3142857"/>
        </a:xfrm>
        <a:prstGeom prst="rect">
          <a:avLst/>
        </a:prstGeom>
      </xdr:spPr>
    </xdr:pic>
    <xdr:clientData/>
  </xdr:oneCellAnchor>
  <xdr:oneCellAnchor>
    <xdr:from>
      <xdr:col>0</xdr:col>
      <xdr:colOff>0</xdr:colOff>
      <xdr:row>233</xdr:row>
      <xdr:rowOff>89647</xdr:rowOff>
    </xdr:from>
    <xdr:ext cx="3786612" cy="3000000"/>
    <xdr:pic>
      <xdr:nvPicPr>
        <xdr:cNvPr id="14" name="Picture 13" descr="data-validation-formula (1).png">
          <a:extLst>
            <a:ext uri="{FF2B5EF4-FFF2-40B4-BE49-F238E27FC236}">
              <a16:creationId xmlns:a16="http://schemas.microsoft.com/office/drawing/2014/main" id="{3771AAD8-0D35-4C22-8A4E-BBD54085C690}"/>
            </a:ext>
          </a:extLst>
        </xdr:cNvPr>
        <xdr:cNvPicPr>
          <a:picLocks noChangeAspect="1"/>
        </xdr:cNvPicPr>
      </xdr:nvPicPr>
      <xdr:blipFill>
        <a:blip xmlns:r="http://schemas.openxmlformats.org/officeDocument/2006/relationships" r:embed="rId12"/>
        <a:stretch>
          <a:fillRect/>
        </a:stretch>
      </xdr:blipFill>
      <xdr:spPr>
        <a:xfrm>
          <a:off x="0" y="44476147"/>
          <a:ext cx="3786612" cy="3000000"/>
        </a:xfrm>
        <a:prstGeom prst="rect">
          <a:avLst/>
        </a:prstGeom>
      </xdr:spPr>
    </xdr:pic>
    <xdr:clientData/>
  </xdr:oneCellAnchor>
  <xdr:oneCellAnchor>
    <xdr:from>
      <xdr:col>0</xdr:col>
      <xdr:colOff>22412</xdr:colOff>
      <xdr:row>257</xdr:row>
      <xdr:rowOff>89646</xdr:rowOff>
    </xdr:from>
    <xdr:ext cx="5747357" cy="2190476"/>
    <xdr:pic>
      <xdr:nvPicPr>
        <xdr:cNvPr id="15" name="Picture 14" descr="incorrect-product-code.png">
          <a:extLst>
            <a:ext uri="{FF2B5EF4-FFF2-40B4-BE49-F238E27FC236}">
              <a16:creationId xmlns:a16="http://schemas.microsoft.com/office/drawing/2014/main" id="{8C73DE51-ACE0-4DAD-B390-E49E798081C1}"/>
            </a:ext>
          </a:extLst>
        </xdr:cNvPr>
        <xdr:cNvPicPr>
          <a:picLocks noChangeAspect="1"/>
        </xdr:cNvPicPr>
      </xdr:nvPicPr>
      <xdr:blipFill>
        <a:blip xmlns:r="http://schemas.openxmlformats.org/officeDocument/2006/relationships" r:embed="rId13"/>
        <a:stretch>
          <a:fillRect/>
        </a:stretch>
      </xdr:blipFill>
      <xdr:spPr>
        <a:xfrm>
          <a:off x="22412" y="49048146"/>
          <a:ext cx="5747357" cy="21904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xdr:from>
      <xdr:col>17</xdr:col>
      <xdr:colOff>515902</xdr:colOff>
      <xdr:row>1</xdr:row>
      <xdr:rowOff>89646</xdr:rowOff>
    </xdr:from>
    <xdr:to>
      <xdr:col>20</xdr:col>
      <xdr:colOff>100509</xdr:colOff>
      <xdr:row>14</xdr:row>
      <xdr:rowOff>89337</xdr:rowOff>
    </xdr:to>
    <xdr:sp macro="" textlink="">
      <xdr:nvSpPr>
        <xdr:cNvPr id="2" name="Left Arrow 1">
          <a:hlinkClick xmlns:r="http://schemas.openxmlformats.org/officeDocument/2006/relationships" r:id="rId1" tooltip="Click to return on Home Tab"/>
          <a:extLst>
            <a:ext uri="{FF2B5EF4-FFF2-40B4-BE49-F238E27FC236}">
              <a16:creationId xmlns:a16="http://schemas.microsoft.com/office/drawing/2014/main" id="{00000000-0008-0000-0A00-000002000000}"/>
            </a:ext>
          </a:extLst>
        </xdr:cNvPr>
        <xdr:cNvSpPr/>
      </xdr:nvSpPr>
      <xdr:spPr>
        <a:xfrm>
          <a:off x="10879102" y="294598"/>
          <a:ext cx="1413407" cy="593525"/>
        </a:xfrm>
        <a:prstGeom prst="leftArrow">
          <a:avLst/>
        </a:prstGeom>
        <a:solidFill>
          <a:schemeClr val="accent2">
            <a:lumMod val="5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IN" sz="1400" b="1"/>
            <a:t>Home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Rohit%20Data\Classes%20Data\Excel%20Classes\EXP%20Pay%20V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New%20Volume\Rohit%20Data\Classes%20Data\New%20Assignments%202019\Excel\Tutorials\Assignment-3%20Wor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standing"/>
      <sheetName val="Final"/>
      <sheetName val="EXP Pay Ven"/>
    </sheetNames>
    <definedNames>
      <definedName name="List1"/>
    </definedNames>
    <sheetDataSet>
      <sheetData sheetId="0"/>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Reference in Excel"/>
      <sheetName val="Name Manager"/>
      <sheetName val="Sheet Protection"/>
      <sheetName val="Shareworkbook"/>
      <sheetName val="Workbook Protection"/>
      <sheetName val="Validation"/>
      <sheetName val="Round Function"/>
      <sheetName val="Working"/>
      <sheetName val="DAta"/>
      <sheetName val="Remove Duplicates"/>
      <sheetName val="Type of Calculation"/>
      <sheetName val="Text to Column"/>
    </sheetNames>
    <sheetDataSet>
      <sheetData sheetId="0"/>
      <sheetData sheetId="1"/>
      <sheetData sheetId="2">
        <row r="57">
          <cell r="A57">
            <v>13</v>
          </cell>
        </row>
        <row r="58">
          <cell r="A58">
            <v>13</v>
          </cell>
        </row>
        <row r="59">
          <cell r="A59">
            <v>13</v>
          </cell>
        </row>
        <row r="60">
          <cell r="A60">
            <v>12</v>
          </cell>
        </row>
        <row r="61">
          <cell r="A61">
            <v>17</v>
          </cell>
        </row>
        <row r="62">
          <cell r="A62">
            <v>15</v>
          </cell>
        </row>
        <row r="63">
          <cell r="A63">
            <v>83</v>
          </cell>
        </row>
      </sheetData>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33"/>
  <sheetViews>
    <sheetView showGridLines="0" topLeftCell="A6" zoomScale="115" zoomScaleNormal="115" workbookViewId="0"/>
  </sheetViews>
  <sheetFormatPr defaultColWidth="0" defaultRowHeight="14.4" zeroHeight="1" x14ac:dyDescent="0.3"/>
  <cols>
    <col min="1" max="15" width="9.109375" style="2" customWidth="1"/>
    <col min="16" max="16" width="18.44140625" style="2" customWidth="1"/>
    <col min="17" max="17" width="2.44140625" hidden="1" customWidth="1"/>
    <col min="18" max="16384" width="9.109375" hidden="1"/>
  </cols>
  <sheetData>
    <row r="1" spans="12:16" ht="15" customHeight="1" x14ac:dyDescent="0.3">
      <c r="L1" s="112" t="s">
        <v>400</v>
      </c>
      <c r="M1" s="112"/>
      <c r="N1" s="112"/>
      <c r="O1" s="112"/>
      <c r="P1" s="112"/>
    </row>
    <row r="2" spans="12:16" ht="22.5" customHeight="1" x14ac:dyDescent="0.3">
      <c r="L2" s="112"/>
      <c r="M2" s="112"/>
      <c r="N2" s="112"/>
      <c r="O2" s="112"/>
      <c r="P2" s="112"/>
    </row>
    <row r="3" spans="12:16" x14ac:dyDescent="0.3">
      <c r="L3" s="112"/>
      <c r="M3" s="112"/>
      <c r="N3" s="112"/>
      <c r="O3" s="112"/>
      <c r="P3" s="112"/>
    </row>
    <row r="4" spans="12:16" ht="15" customHeight="1" x14ac:dyDescent="0.3">
      <c r="L4" s="112"/>
      <c r="M4" s="112"/>
      <c r="N4" s="112"/>
      <c r="O4" s="112"/>
      <c r="P4" s="112"/>
    </row>
    <row r="5" spans="12:16" ht="22.5" customHeight="1" x14ac:dyDescent="0.3"/>
    <row r="6" spans="12:16" ht="16.5" customHeight="1" x14ac:dyDescent="0.3"/>
    <row r="7" spans="12:16" ht="15" customHeight="1" x14ac:dyDescent="0.3"/>
    <row r="8" spans="12:16" x14ac:dyDescent="0.3"/>
    <row r="9" spans="12:16" x14ac:dyDescent="0.3"/>
    <row r="10" spans="12:16" x14ac:dyDescent="0.3"/>
    <row r="11" spans="12:16" ht="15" customHeight="1" x14ac:dyDescent="0.3"/>
    <row r="12" spans="12:16" x14ac:dyDescent="0.3"/>
    <row r="13" spans="12:16" x14ac:dyDescent="0.3"/>
    <row r="14" spans="12:16" x14ac:dyDescent="0.3"/>
    <row r="15" spans="12:16" x14ac:dyDescent="0.3"/>
    <row r="16" spans="12: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sheetData>
  <customSheetViews>
    <customSheetView guid="{A27D5E1E-B06B-4AE2-9D20-CB87A5C74206}" showGridLines="0" hiddenRows="1" hiddenColumns="1">
      <selection activeCell="P10" sqref="P10"/>
      <pageMargins left="0.7" right="0.7" top="0.75" bottom="0.75" header="0.3" footer="0.3"/>
      <pageSetup orientation="portrait" r:id="rId1"/>
    </customSheetView>
  </customSheetViews>
  <mergeCells count="1">
    <mergeCell ref="L1:P4"/>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104"/>
  <sheetViews>
    <sheetView showGridLines="0" zoomScaleNormal="100" workbookViewId="0">
      <selection activeCell="D12" sqref="D12"/>
    </sheetView>
  </sheetViews>
  <sheetFormatPr defaultRowHeight="14.4" x14ac:dyDescent="0.3"/>
  <cols>
    <col min="1" max="3" width="20.5546875" customWidth="1"/>
    <col min="4" max="4" width="25.88671875" customWidth="1"/>
    <col min="5" max="5" width="25" customWidth="1"/>
    <col min="6" max="6" width="20.5546875" customWidth="1"/>
    <col min="7" max="7" width="16.44140625" customWidth="1"/>
  </cols>
  <sheetData>
    <row r="1" spans="1:8" x14ac:dyDescent="0.3">
      <c r="A1" s="114" t="s">
        <v>19</v>
      </c>
      <c r="B1" s="114"/>
      <c r="C1" s="114"/>
      <c r="D1" s="114"/>
      <c r="E1" s="114"/>
      <c r="F1" s="114"/>
      <c r="G1" s="114"/>
      <c r="H1" s="114"/>
    </row>
    <row r="3" spans="1:8" x14ac:dyDescent="0.3">
      <c r="A3" t="s">
        <v>20</v>
      </c>
    </row>
    <row r="5" spans="1:8" x14ac:dyDescent="0.3">
      <c r="A5" t="s">
        <v>21</v>
      </c>
    </row>
    <row r="6" spans="1:8" x14ac:dyDescent="0.3">
      <c r="A6" s="1"/>
    </row>
    <row r="7" spans="1:8" x14ac:dyDescent="0.3">
      <c r="A7" s="20" t="s">
        <v>22</v>
      </c>
    </row>
    <row r="8" spans="1:8" x14ac:dyDescent="0.3">
      <c r="A8" s="20"/>
    </row>
    <row r="9" spans="1:8" x14ac:dyDescent="0.3">
      <c r="A9" s="33" t="s">
        <v>23</v>
      </c>
    </row>
    <row r="18" spans="1:9" x14ac:dyDescent="0.3">
      <c r="A18" s="35" t="s">
        <v>24</v>
      </c>
    </row>
    <row r="20" spans="1:9" x14ac:dyDescent="0.3">
      <c r="A20" t="s">
        <v>25</v>
      </c>
    </row>
    <row r="22" spans="1:9" x14ac:dyDescent="0.3">
      <c r="A22" s="37" t="s">
        <v>27</v>
      </c>
    </row>
    <row r="23" spans="1:9" x14ac:dyDescent="0.3">
      <c r="A23" s="36"/>
    </row>
    <row r="24" spans="1:9" x14ac:dyDescent="0.3">
      <c r="A24" s="113" t="s">
        <v>26</v>
      </c>
      <c r="B24" s="113"/>
      <c r="C24" s="113"/>
      <c r="D24" s="113"/>
      <c r="E24" s="113"/>
      <c r="F24" s="113"/>
      <c r="G24" s="113"/>
      <c r="H24" s="113"/>
      <c r="I24" s="113"/>
    </row>
    <row r="25" spans="1:9" x14ac:dyDescent="0.3">
      <c r="A25" s="113"/>
      <c r="B25" s="113"/>
      <c r="C25" s="113"/>
      <c r="D25" s="113"/>
      <c r="E25" s="113"/>
      <c r="F25" s="113"/>
      <c r="G25" s="113"/>
      <c r="H25" s="113"/>
      <c r="I25" s="113"/>
    </row>
    <row r="27" spans="1:9" x14ac:dyDescent="0.3">
      <c r="A27" t="s">
        <v>28</v>
      </c>
    </row>
    <row r="36" spans="1:7" x14ac:dyDescent="0.3">
      <c r="A36" s="1" t="s">
        <v>29</v>
      </c>
    </row>
    <row r="38" spans="1:7" x14ac:dyDescent="0.3">
      <c r="A38" t="s">
        <v>31</v>
      </c>
    </row>
    <row r="40" spans="1:7" x14ac:dyDescent="0.3">
      <c r="A40" s="113" t="s">
        <v>32</v>
      </c>
      <c r="B40" s="113"/>
      <c r="C40" s="113"/>
      <c r="D40" s="113"/>
      <c r="E40" s="113"/>
      <c r="F40" s="113"/>
      <c r="G40" s="113"/>
    </row>
    <row r="41" spans="1:7" x14ac:dyDescent="0.3">
      <c r="A41" s="113"/>
      <c r="B41" s="113"/>
      <c r="C41" s="113"/>
      <c r="D41" s="113"/>
      <c r="E41" s="113"/>
      <c r="F41" s="113"/>
      <c r="G41" s="113"/>
    </row>
    <row r="43" spans="1:7" x14ac:dyDescent="0.3">
      <c r="A43" t="s">
        <v>30</v>
      </c>
    </row>
    <row r="53" spans="1:1" x14ac:dyDescent="0.3">
      <c r="A53" s="1" t="s">
        <v>33</v>
      </c>
    </row>
    <row r="55" spans="1:1" x14ac:dyDescent="0.3">
      <c r="A55" t="s">
        <v>34</v>
      </c>
    </row>
    <row r="57" spans="1:1" x14ac:dyDescent="0.3">
      <c r="A57" t="s">
        <v>35</v>
      </c>
    </row>
    <row r="58" spans="1:1" x14ac:dyDescent="0.3">
      <c r="A58" t="s">
        <v>36</v>
      </c>
    </row>
    <row r="59" spans="1:1" x14ac:dyDescent="0.3">
      <c r="A59" t="s">
        <v>37</v>
      </c>
    </row>
    <row r="60" spans="1:1" x14ac:dyDescent="0.3">
      <c r="A60" t="s">
        <v>38</v>
      </c>
    </row>
    <row r="62" spans="1:1" x14ac:dyDescent="0.3">
      <c r="A62" s="1" t="s">
        <v>39</v>
      </c>
    </row>
    <row r="64" spans="1:1" x14ac:dyDescent="0.3">
      <c r="A64" t="s">
        <v>40</v>
      </c>
    </row>
    <row r="66" spans="1:7" x14ac:dyDescent="0.3">
      <c r="A66" t="s">
        <v>41</v>
      </c>
    </row>
    <row r="68" spans="1:7" x14ac:dyDescent="0.3">
      <c r="A68" t="s">
        <v>42</v>
      </c>
    </row>
    <row r="69" spans="1:7" x14ac:dyDescent="0.3">
      <c r="A69" t="s">
        <v>43</v>
      </c>
    </row>
    <row r="70" spans="1:7" x14ac:dyDescent="0.3">
      <c r="A70" t="s">
        <v>44</v>
      </c>
    </row>
    <row r="72" spans="1:7" x14ac:dyDescent="0.3">
      <c r="A72" s="1" t="s">
        <v>45</v>
      </c>
    </row>
    <row r="74" spans="1:7" x14ac:dyDescent="0.3">
      <c r="A74" t="s">
        <v>46</v>
      </c>
    </row>
    <row r="76" spans="1:7" x14ac:dyDescent="0.3">
      <c r="A76" t="s">
        <v>47</v>
      </c>
    </row>
    <row r="78" spans="1:7" x14ac:dyDescent="0.3">
      <c r="A78" s="1" t="s">
        <v>48</v>
      </c>
    </row>
    <row r="80" spans="1:7" x14ac:dyDescent="0.3">
      <c r="A80" s="113" t="s">
        <v>49</v>
      </c>
      <c r="B80" s="113"/>
      <c r="C80" s="113"/>
      <c r="D80" s="113"/>
      <c r="E80" s="113"/>
      <c r="F80" s="113"/>
      <c r="G80" s="113"/>
    </row>
    <row r="81" spans="1:7" x14ac:dyDescent="0.3">
      <c r="A81" s="113"/>
      <c r="B81" s="113"/>
      <c r="C81" s="113"/>
      <c r="D81" s="113"/>
      <c r="E81" s="113"/>
      <c r="F81" s="113"/>
      <c r="G81" s="113"/>
    </row>
    <row r="83" spans="1:7" x14ac:dyDescent="0.3">
      <c r="A83" t="s">
        <v>50</v>
      </c>
    </row>
    <row r="85" spans="1:7" x14ac:dyDescent="0.3">
      <c r="A85" s="38" t="s">
        <v>52</v>
      </c>
    </row>
    <row r="86" spans="1:7" x14ac:dyDescent="0.3">
      <c r="A86" s="36"/>
    </row>
    <row r="87" spans="1:7" x14ac:dyDescent="0.3">
      <c r="A87" t="s">
        <v>51</v>
      </c>
    </row>
    <row r="89" spans="1:7" x14ac:dyDescent="0.3">
      <c r="A89" s="34" t="s">
        <v>53</v>
      </c>
      <c r="D89" s="34" t="s">
        <v>54</v>
      </c>
    </row>
    <row r="98" spans="1:6" x14ac:dyDescent="0.3">
      <c r="A98" s="113" t="s">
        <v>55</v>
      </c>
      <c r="B98" s="113"/>
      <c r="C98" s="113"/>
      <c r="D98" s="113"/>
      <c r="E98" s="113"/>
      <c r="F98" s="113"/>
    </row>
    <row r="99" spans="1:6" x14ac:dyDescent="0.3">
      <c r="A99" s="113"/>
      <c r="B99" s="113"/>
      <c r="C99" s="113"/>
      <c r="D99" s="113"/>
      <c r="E99" s="113"/>
      <c r="F99" s="113"/>
    </row>
    <row r="102" spans="1:6" x14ac:dyDescent="0.3">
      <c r="A102" s="1" t="s">
        <v>1</v>
      </c>
    </row>
    <row r="104" spans="1:6" x14ac:dyDescent="0.3">
      <c r="A104">
        <f ca="1">RANDBETWEEN(1,100)</f>
        <v>26</v>
      </c>
    </row>
  </sheetData>
  <customSheetViews>
    <customSheetView guid="{A27D5E1E-B06B-4AE2-9D20-CB87A5C74206}" scale="160" showGridLines="0" topLeftCell="A59">
      <selection activeCell="G68" sqref="G68"/>
      <pageMargins left="0.7" right="0.7" top="0.75" bottom="0.75" header="0.3" footer="0.3"/>
      <pageSetup orientation="portrait" r:id="rId1"/>
    </customSheetView>
  </customSheetViews>
  <mergeCells count="5">
    <mergeCell ref="A98:F99"/>
    <mergeCell ref="A1:H1"/>
    <mergeCell ref="A24:I25"/>
    <mergeCell ref="A40:G41"/>
    <mergeCell ref="A80:G81"/>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26"/>
  <sheetViews>
    <sheetView showGridLines="0" topLeftCell="A23" zoomScale="145" zoomScaleNormal="145" workbookViewId="0">
      <selection activeCell="E34" sqref="E34"/>
    </sheetView>
  </sheetViews>
  <sheetFormatPr defaultRowHeight="14.4" x14ac:dyDescent="0.3"/>
  <cols>
    <col min="1" max="1" width="13.6640625" customWidth="1"/>
    <col min="2" max="5" width="12.109375" customWidth="1"/>
    <col min="7" max="7" width="8" customWidth="1"/>
    <col min="8" max="8" width="11.6640625" bestFit="1" customWidth="1"/>
    <col min="9" max="9" width="8" customWidth="1"/>
    <col min="10" max="11" width="13.88671875" bestFit="1" customWidth="1"/>
    <col min="12" max="12" width="9.33203125" customWidth="1"/>
  </cols>
  <sheetData>
    <row r="1" spans="1:15" x14ac:dyDescent="0.3">
      <c r="A1" s="114" t="s">
        <v>56</v>
      </c>
      <c r="B1" s="114"/>
      <c r="C1" s="114"/>
      <c r="D1" s="114"/>
      <c r="E1" s="114"/>
      <c r="F1" s="114"/>
      <c r="G1" s="114"/>
      <c r="H1" s="114"/>
      <c r="I1" s="114"/>
      <c r="J1" s="114"/>
      <c r="K1" s="114"/>
      <c r="L1" s="114"/>
      <c r="M1" s="114"/>
      <c r="N1" s="114"/>
      <c r="O1" s="114"/>
    </row>
    <row r="3" spans="1:15" x14ac:dyDescent="0.3">
      <c r="A3" s="39" t="s">
        <v>57</v>
      </c>
    </row>
    <row r="4" spans="1:15" x14ac:dyDescent="0.3">
      <c r="A4" s="39"/>
    </row>
    <row r="5" spans="1:15" x14ac:dyDescent="0.3">
      <c r="A5" t="s">
        <v>58</v>
      </c>
    </row>
    <row r="7" spans="1:15" x14ac:dyDescent="0.3">
      <c r="A7" s="1" t="s">
        <v>4</v>
      </c>
      <c r="I7" s="70" t="s">
        <v>306</v>
      </c>
      <c r="J7" s="70" t="s">
        <v>307</v>
      </c>
    </row>
    <row r="8" spans="1:15" x14ac:dyDescent="0.3">
      <c r="A8" s="1"/>
      <c r="I8" s="70" t="s">
        <v>308</v>
      </c>
      <c r="J8" s="70" t="s">
        <v>309</v>
      </c>
    </row>
    <row r="9" spans="1:15" x14ac:dyDescent="0.3">
      <c r="A9" s="20" t="s">
        <v>59</v>
      </c>
      <c r="I9" s="70" t="s">
        <v>310</v>
      </c>
      <c r="J9" s="70" t="s">
        <v>311</v>
      </c>
    </row>
    <row r="10" spans="1:15" x14ac:dyDescent="0.3">
      <c r="A10" s="20"/>
    </row>
    <row r="11" spans="1:15" x14ac:dyDescent="0.3">
      <c r="A11" s="1" t="s">
        <v>5</v>
      </c>
    </row>
    <row r="13" spans="1:15" x14ac:dyDescent="0.3">
      <c r="A13" s="1" t="s">
        <v>60</v>
      </c>
    </row>
    <row r="14" spans="1:15" x14ac:dyDescent="0.3">
      <c r="A14" t="s">
        <v>61</v>
      </c>
    </row>
    <row r="15" spans="1:15" x14ac:dyDescent="0.3">
      <c r="A15" s="1" t="s">
        <v>62</v>
      </c>
    </row>
    <row r="16" spans="1:15" x14ac:dyDescent="0.3">
      <c r="A16" t="s">
        <v>63</v>
      </c>
    </row>
    <row r="17" spans="1:13" x14ac:dyDescent="0.3">
      <c r="A17" s="1" t="s">
        <v>64</v>
      </c>
    </row>
    <row r="18" spans="1:13" x14ac:dyDescent="0.3">
      <c r="A18" t="s">
        <v>65</v>
      </c>
    </row>
    <row r="20" spans="1:13" x14ac:dyDescent="0.3">
      <c r="A20" t="s">
        <v>66</v>
      </c>
    </row>
    <row r="21" spans="1:13" x14ac:dyDescent="0.3">
      <c r="A21" s="1"/>
    </row>
    <row r="22" spans="1:13" ht="15" thickBot="1" x14ac:dyDescent="0.35"/>
    <row r="23" spans="1:13" x14ac:dyDescent="0.3">
      <c r="A23" s="14" t="s">
        <v>3</v>
      </c>
      <c r="B23" s="3"/>
      <c r="C23" s="3"/>
      <c r="D23" s="3"/>
      <c r="E23" s="3"/>
      <c r="F23" s="3"/>
      <c r="G23" s="28" t="s">
        <v>67</v>
      </c>
      <c r="H23" s="3"/>
      <c r="I23" s="3"/>
      <c r="J23" s="3"/>
      <c r="K23" s="3"/>
      <c r="L23" s="3"/>
      <c r="M23" s="4"/>
    </row>
    <row r="24" spans="1:13" x14ac:dyDescent="0.3">
      <c r="A24" s="15"/>
      <c r="B24" s="6"/>
      <c r="C24" s="7"/>
      <c r="D24" s="7"/>
      <c r="E24" s="7"/>
      <c r="F24" s="7"/>
      <c r="G24" s="25"/>
      <c r="H24" s="25"/>
      <c r="I24" s="26"/>
      <c r="J24" s="26"/>
      <c r="K24" s="25"/>
      <c r="L24" s="27"/>
      <c r="M24" s="8"/>
    </row>
    <row r="25" spans="1:13" x14ac:dyDescent="0.3">
      <c r="A25" s="21" t="s">
        <v>6</v>
      </c>
      <c r="B25" s="11" t="s">
        <v>9</v>
      </c>
      <c r="C25" s="11" t="s">
        <v>10</v>
      </c>
      <c r="D25" s="11" t="s">
        <v>11</v>
      </c>
      <c r="E25" s="11" t="s">
        <v>12</v>
      </c>
      <c r="F25" s="11"/>
      <c r="G25" s="42" t="s">
        <v>429</v>
      </c>
      <c r="H25" s="43" t="s">
        <v>9</v>
      </c>
      <c r="I25" s="7"/>
      <c r="J25" s="42" t="s">
        <v>6</v>
      </c>
      <c r="K25" s="43" t="s">
        <v>9</v>
      </c>
      <c r="L25" s="43" t="s">
        <v>10</v>
      </c>
      <c r="M25" s="8"/>
    </row>
    <row r="26" spans="1:13" x14ac:dyDescent="0.3">
      <c r="A26" s="5" t="s">
        <v>8</v>
      </c>
      <c r="B26" s="7" t="s">
        <v>13</v>
      </c>
      <c r="C26" s="22">
        <v>37812</v>
      </c>
      <c r="D26" s="7">
        <v>10249</v>
      </c>
      <c r="E26" s="19">
        <v>1863.4</v>
      </c>
      <c r="F26" s="7"/>
      <c r="G26" s="40" t="s">
        <v>8</v>
      </c>
      <c r="H26" s="41" t="s">
        <v>14</v>
      </c>
      <c r="I26" s="7"/>
      <c r="J26" s="40" t="s">
        <v>8</v>
      </c>
      <c r="K26" s="41" t="s">
        <v>14</v>
      </c>
      <c r="L26" s="44" t="s">
        <v>68</v>
      </c>
      <c r="M26" s="8"/>
    </row>
    <row r="27" spans="1:13" x14ac:dyDescent="0.3">
      <c r="A27" s="5" t="s">
        <v>8</v>
      </c>
      <c r="B27" s="7" t="s">
        <v>14</v>
      </c>
      <c r="C27" s="22">
        <f t="shared" ref="C27:C32" si="0">C26-20</f>
        <v>37792</v>
      </c>
      <c r="D27" s="7">
        <v>10252</v>
      </c>
      <c r="E27" s="19">
        <v>3597.9</v>
      </c>
      <c r="F27" s="7"/>
      <c r="G27" s="7"/>
      <c r="H27" s="7"/>
      <c r="I27" s="7"/>
      <c r="J27" s="7"/>
      <c r="K27" s="7"/>
      <c r="L27" s="7"/>
      <c r="M27" s="8"/>
    </row>
    <row r="28" spans="1:13" x14ac:dyDescent="0.3">
      <c r="A28" s="5" t="s">
        <v>8</v>
      </c>
      <c r="B28" s="7" t="s">
        <v>14</v>
      </c>
      <c r="C28" s="22">
        <f t="shared" si="0"/>
        <v>37772</v>
      </c>
      <c r="D28" s="7">
        <v>10250</v>
      </c>
      <c r="E28" s="19">
        <v>1552.6</v>
      </c>
      <c r="F28" s="7"/>
      <c r="G28" s="45" t="s">
        <v>70</v>
      </c>
      <c r="H28" s="24"/>
      <c r="I28" s="7"/>
      <c r="J28" s="7"/>
      <c r="K28" s="7"/>
      <c r="L28" s="23"/>
      <c r="M28" s="8"/>
    </row>
    <row r="29" spans="1:13" x14ac:dyDescent="0.3">
      <c r="A29" s="5" t="s">
        <v>8</v>
      </c>
      <c r="B29" s="7" t="s">
        <v>15</v>
      </c>
      <c r="C29" s="22">
        <f t="shared" si="0"/>
        <v>37752</v>
      </c>
      <c r="D29" s="7">
        <v>10251</v>
      </c>
      <c r="E29" s="19">
        <v>654.05999999999995</v>
      </c>
      <c r="F29" s="7"/>
      <c r="G29" s="24"/>
      <c r="H29" s="24"/>
      <c r="I29" s="7"/>
      <c r="J29" s="7"/>
      <c r="K29" s="7"/>
      <c r="L29" s="23"/>
      <c r="M29" s="8"/>
    </row>
    <row r="30" spans="1:13" x14ac:dyDescent="0.3">
      <c r="A30" s="5" t="s">
        <v>7</v>
      </c>
      <c r="B30" s="7" t="s">
        <v>16</v>
      </c>
      <c r="C30" s="22">
        <f t="shared" si="0"/>
        <v>37732</v>
      </c>
      <c r="D30" s="7">
        <v>10255</v>
      </c>
      <c r="E30" s="19">
        <v>2490.5</v>
      </c>
      <c r="F30" s="7"/>
      <c r="G30" s="47" t="s">
        <v>69</v>
      </c>
      <c r="H30" s="7"/>
      <c r="I30" s="7"/>
      <c r="J30" s="47" t="s">
        <v>72</v>
      </c>
      <c r="K30" s="7"/>
      <c r="L30" s="7"/>
      <c r="M30" s="8"/>
    </row>
    <row r="31" spans="1:13" x14ac:dyDescent="0.3">
      <c r="A31" s="5" t="s">
        <v>8</v>
      </c>
      <c r="B31" s="7" t="s">
        <v>14</v>
      </c>
      <c r="C31" s="22">
        <f t="shared" si="0"/>
        <v>37712</v>
      </c>
      <c r="D31" s="7">
        <v>10253</v>
      </c>
      <c r="E31" s="19">
        <v>1444.8</v>
      </c>
      <c r="F31" s="7"/>
      <c r="G31" s="11"/>
      <c r="H31" s="24"/>
      <c r="I31" s="7"/>
      <c r="J31" s="7"/>
      <c r="K31" s="7"/>
      <c r="L31" s="23"/>
      <c r="M31" s="8"/>
    </row>
    <row r="32" spans="1:13" x14ac:dyDescent="0.3">
      <c r="A32" s="5" t="s">
        <v>7</v>
      </c>
      <c r="B32" s="7" t="s">
        <v>17</v>
      </c>
      <c r="C32" s="22">
        <f t="shared" si="0"/>
        <v>37692</v>
      </c>
      <c r="D32" s="7">
        <v>10248</v>
      </c>
      <c r="E32" s="19">
        <v>440</v>
      </c>
      <c r="F32" s="7"/>
      <c r="G32" s="45" t="s">
        <v>71</v>
      </c>
      <c r="H32" s="7"/>
      <c r="I32" s="7"/>
      <c r="J32" s="7"/>
      <c r="K32" s="7"/>
      <c r="L32" s="7"/>
      <c r="M32" s="8"/>
    </row>
    <row r="33" spans="1:13" x14ac:dyDescent="0.3">
      <c r="A33" s="5"/>
      <c r="B33" s="7"/>
      <c r="C33" s="7"/>
      <c r="D33" s="7"/>
      <c r="E33" s="7"/>
      <c r="F33" s="7"/>
      <c r="G33" s="7"/>
      <c r="H33" s="24"/>
      <c r="I33" s="7"/>
      <c r="J33" s="7"/>
      <c r="K33" s="7"/>
      <c r="L33" s="23"/>
      <c r="M33" s="8"/>
    </row>
    <row r="34" spans="1:13" x14ac:dyDescent="0.3">
      <c r="A34" s="5"/>
      <c r="B34" s="19">
        <f>SUM(E26,E27,E28,E31)</f>
        <v>8458.6999999999989</v>
      </c>
      <c r="C34" s="7"/>
      <c r="D34" s="7"/>
      <c r="E34" s="23">
        <f>SUM(SUMIFS(E26:E32,A26:A32,A26,B26:B32,B26),SUMIFS(E26:E32,A26:A32,A27,B26:B32,B27))</f>
        <v>8458.7000000000007</v>
      </c>
      <c r="F34" s="7"/>
      <c r="G34" s="46">
        <f t="array" ref="G34">DSUM(A25:E32,E25,G25:H26)</f>
        <v>0</v>
      </c>
      <c r="H34" s="7">
        <f>SUMIFS(E26:E32,A26:A32,A27,B26:B32,B27)</f>
        <v>6595.3</v>
      </c>
      <c r="I34" s="7"/>
      <c r="J34" s="46">
        <f>DSUM($A$25:$E$32,E25,$J$25:$L$26)</f>
        <v>5150.5</v>
      </c>
      <c r="K34" s="7"/>
      <c r="L34" s="7"/>
      <c r="M34" s="8"/>
    </row>
    <row r="35" spans="1:13" ht="15" thickBot="1" x14ac:dyDescent="0.35">
      <c r="A35" s="115"/>
      <c r="B35" s="116"/>
      <c r="C35" s="9"/>
      <c r="D35" s="9"/>
      <c r="E35" s="18"/>
      <c r="F35" s="9"/>
      <c r="G35" s="9"/>
      <c r="H35" s="9"/>
      <c r="I35" s="9"/>
      <c r="J35" s="9"/>
      <c r="K35" s="9"/>
      <c r="L35" s="9"/>
      <c r="M35" s="10"/>
    </row>
    <row r="38" spans="1:13" x14ac:dyDescent="0.3">
      <c r="A38" s="39" t="s">
        <v>73</v>
      </c>
    </row>
    <row r="39" spans="1:13" x14ac:dyDescent="0.3">
      <c r="A39" s="39"/>
    </row>
    <row r="40" spans="1:13" x14ac:dyDescent="0.3">
      <c r="A40" t="s">
        <v>74</v>
      </c>
    </row>
    <row r="42" spans="1:13" x14ac:dyDescent="0.3">
      <c r="A42" s="1" t="s">
        <v>4</v>
      </c>
    </row>
    <row r="43" spans="1:13" x14ac:dyDescent="0.3">
      <c r="A43" s="1"/>
    </row>
    <row r="44" spans="1:13" x14ac:dyDescent="0.3">
      <c r="A44" s="20" t="s">
        <v>75</v>
      </c>
    </row>
    <row r="45" spans="1:13" x14ac:dyDescent="0.3">
      <c r="A45" s="20"/>
    </row>
    <row r="46" spans="1:13" x14ac:dyDescent="0.3">
      <c r="A46" s="1" t="s">
        <v>5</v>
      </c>
    </row>
    <row r="48" spans="1:13" x14ac:dyDescent="0.3">
      <c r="A48" s="1" t="s">
        <v>60</v>
      </c>
    </row>
    <row r="49" spans="1:16" x14ac:dyDescent="0.3">
      <c r="A49" t="s">
        <v>61</v>
      </c>
    </row>
    <row r="50" spans="1:16" x14ac:dyDescent="0.3">
      <c r="A50" s="1" t="s">
        <v>62</v>
      </c>
    </row>
    <row r="51" spans="1:16" x14ac:dyDescent="0.3">
      <c r="A51" s="113" t="s">
        <v>76</v>
      </c>
      <c r="B51" s="113"/>
      <c r="C51" s="113"/>
      <c r="D51" s="113"/>
      <c r="E51" s="113"/>
      <c r="F51" s="113"/>
      <c r="G51" s="113"/>
      <c r="H51" s="113"/>
      <c r="I51" s="113"/>
      <c r="J51" s="113"/>
      <c r="K51" s="113"/>
      <c r="L51" s="113"/>
      <c r="M51" s="113"/>
      <c r="N51" s="113"/>
      <c r="O51" s="113"/>
      <c r="P51" s="113"/>
    </row>
    <row r="52" spans="1:16" x14ac:dyDescent="0.3">
      <c r="A52" s="113"/>
      <c r="B52" s="113"/>
      <c r="C52" s="113"/>
      <c r="D52" s="113"/>
      <c r="E52" s="113"/>
      <c r="F52" s="113"/>
      <c r="G52" s="113"/>
      <c r="H52" s="113"/>
      <c r="I52" s="113"/>
      <c r="J52" s="113"/>
      <c r="K52" s="113"/>
      <c r="L52" s="113"/>
      <c r="M52" s="113"/>
      <c r="N52" s="113"/>
      <c r="O52" s="113"/>
      <c r="P52" s="113"/>
    </row>
    <row r="53" spans="1:16" x14ac:dyDescent="0.3">
      <c r="A53" s="1" t="s">
        <v>64</v>
      </c>
    </row>
    <row r="54" spans="1:16" x14ac:dyDescent="0.3">
      <c r="A54" t="s">
        <v>65</v>
      </c>
    </row>
    <row r="56" spans="1:16" x14ac:dyDescent="0.3">
      <c r="A56" t="s">
        <v>77</v>
      </c>
    </row>
    <row r="58" spans="1:16" ht="15" thickBot="1" x14ac:dyDescent="0.35"/>
    <row r="59" spans="1:16" x14ac:dyDescent="0.3">
      <c r="A59" s="14" t="s">
        <v>3</v>
      </c>
      <c r="B59" s="3"/>
      <c r="C59" s="3"/>
      <c r="D59" s="3"/>
      <c r="E59" s="3"/>
      <c r="F59" s="3"/>
      <c r="G59" s="28" t="s">
        <v>67</v>
      </c>
      <c r="H59" s="3"/>
      <c r="I59" s="3"/>
      <c r="J59" s="3"/>
      <c r="K59" s="3"/>
      <c r="L59" s="3"/>
      <c r="M59" s="4"/>
    </row>
    <row r="60" spans="1:16" x14ac:dyDescent="0.3">
      <c r="A60" s="15"/>
      <c r="B60" s="6"/>
      <c r="C60" s="7"/>
      <c r="D60" s="7"/>
      <c r="E60" s="7"/>
      <c r="F60" s="7"/>
      <c r="G60" s="25"/>
      <c r="H60" s="25"/>
      <c r="I60" s="26"/>
      <c r="J60" s="26"/>
      <c r="K60" s="25"/>
      <c r="L60" s="27"/>
      <c r="M60" s="8"/>
    </row>
    <row r="61" spans="1:16" x14ac:dyDescent="0.3">
      <c r="A61" s="21" t="s">
        <v>6</v>
      </c>
      <c r="B61" s="11" t="s">
        <v>9</v>
      </c>
      <c r="C61" s="11" t="s">
        <v>10</v>
      </c>
      <c r="D61" s="11" t="s">
        <v>11</v>
      </c>
      <c r="E61" s="11" t="s">
        <v>12</v>
      </c>
      <c r="F61" s="11"/>
      <c r="G61" s="42" t="s">
        <v>6</v>
      </c>
      <c r="H61" s="43" t="s">
        <v>9</v>
      </c>
      <c r="I61" s="7"/>
      <c r="J61" s="42" t="s">
        <v>6</v>
      </c>
      <c r="K61" s="43" t="s">
        <v>9</v>
      </c>
      <c r="L61" s="43" t="s">
        <v>10</v>
      </c>
      <c r="M61" s="8"/>
    </row>
    <row r="62" spans="1:16" x14ac:dyDescent="0.3">
      <c r="A62" s="5" t="s">
        <v>7</v>
      </c>
      <c r="B62" s="7" t="s">
        <v>13</v>
      </c>
      <c r="C62" s="22">
        <v>37812</v>
      </c>
      <c r="D62" s="7">
        <v>10249</v>
      </c>
      <c r="E62" s="19">
        <v>1863.4</v>
      </c>
      <c r="F62" s="7"/>
      <c r="G62" s="40" t="s">
        <v>8</v>
      </c>
      <c r="H62" s="41" t="s">
        <v>14</v>
      </c>
      <c r="I62" s="7"/>
      <c r="J62" s="40" t="s">
        <v>8</v>
      </c>
      <c r="K62" s="41" t="s">
        <v>14</v>
      </c>
      <c r="L62" s="44" t="s">
        <v>68</v>
      </c>
      <c r="M62" s="8"/>
    </row>
    <row r="63" spans="1:16" x14ac:dyDescent="0.3">
      <c r="A63" s="5" t="s">
        <v>8</v>
      </c>
      <c r="B63" s="7" t="s">
        <v>14</v>
      </c>
      <c r="C63" s="22">
        <f t="shared" ref="C63:C68" si="1">C62-20</f>
        <v>37792</v>
      </c>
      <c r="D63" s="7">
        <v>10252</v>
      </c>
      <c r="E63" s="19">
        <v>3597.9</v>
      </c>
      <c r="F63" s="7"/>
      <c r="G63" s="7"/>
      <c r="H63" s="7"/>
      <c r="I63" s="7"/>
      <c r="J63" s="7"/>
      <c r="K63" s="7"/>
      <c r="L63" s="7"/>
      <c r="M63" s="8"/>
    </row>
    <row r="64" spans="1:16" x14ac:dyDescent="0.3">
      <c r="A64" s="5" t="s">
        <v>8</v>
      </c>
      <c r="B64" s="7" t="s">
        <v>14</v>
      </c>
      <c r="C64" s="22">
        <f t="shared" si="1"/>
        <v>37772</v>
      </c>
      <c r="D64" s="7">
        <v>10250</v>
      </c>
      <c r="E64" s="19">
        <v>1552.6</v>
      </c>
      <c r="F64" s="7"/>
      <c r="G64" s="45" t="s">
        <v>70</v>
      </c>
      <c r="H64" s="24"/>
      <c r="I64" s="7"/>
      <c r="J64" s="7"/>
      <c r="K64" s="7"/>
      <c r="L64" s="23"/>
      <c r="M64" s="8"/>
    </row>
    <row r="65" spans="1:13" x14ac:dyDescent="0.3">
      <c r="A65" s="5" t="s">
        <v>8</v>
      </c>
      <c r="B65" s="7" t="s">
        <v>15</v>
      </c>
      <c r="C65" s="22">
        <f t="shared" si="1"/>
        <v>37752</v>
      </c>
      <c r="D65" s="7">
        <v>10251</v>
      </c>
      <c r="E65" s="19">
        <v>654.05999999999995</v>
      </c>
      <c r="F65" s="7"/>
      <c r="G65" s="24"/>
      <c r="H65" s="24"/>
      <c r="I65" s="7"/>
      <c r="J65" s="7"/>
      <c r="K65" s="7"/>
      <c r="L65" s="23"/>
      <c r="M65" s="8"/>
    </row>
    <row r="66" spans="1:13" x14ac:dyDescent="0.3">
      <c r="A66" s="5" t="s">
        <v>7</v>
      </c>
      <c r="B66" s="7" t="s">
        <v>16</v>
      </c>
      <c r="C66" s="22">
        <f t="shared" si="1"/>
        <v>37732</v>
      </c>
      <c r="D66" s="7">
        <v>10255</v>
      </c>
      <c r="E66" s="19">
        <v>2490.5</v>
      </c>
      <c r="F66" s="7"/>
      <c r="G66" s="47" t="s">
        <v>83</v>
      </c>
      <c r="H66" s="7"/>
      <c r="I66" s="7"/>
      <c r="J66" s="47" t="s">
        <v>84</v>
      </c>
      <c r="K66" s="7"/>
      <c r="L66" s="7"/>
      <c r="M66" s="8"/>
    </row>
    <row r="67" spans="1:13" x14ac:dyDescent="0.3">
      <c r="A67" s="5" t="s">
        <v>8</v>
      </c>
      <c r="B67" s="7" t="s">
        <v>14</v>
      </c>
      <c r="C67" s="22">
        <f t="shared" si="1"/>
        <v>37712</v>
      </c>
      <c r="D67" s="7">
        <v>10253</v>
      </c>
      <c r="E67" s="19">
        <v>1444.8</v>
      </c>
      <c r="F67" s="7"/>
      <c r="G67" s="11"/>
      <c r="H67" s="24"/>
      <c r="I67" s="7"/>
      <c r="J67" s="7"/>
      <c r="K67" s="7"/>
      <c r="L67" s="23"/>
      <c r="M67" s="8"/>
    </row>
    <row r="68" spans="1:13" x14ac:dyDescent="0.3">
      <c r="A68" s="5" t="s">
        <v>7</v>
      </c>
      <c r="B68" s="7" t="s">
        <v>17</v>
      </c>
      <c r="C68" s="22">
        <f t="shared" si="1"/>
        <v>37692</v>
      </c>
      <c r="D68" s="7">
        <v>10248</v>
      </c>
      <c r="E68" s="19">
        <v>440</v>
      </c>
      <c r="F68" s="7"/>
      <c r="G68" s="45" t="s">
        <v>71</v>
      </c>
      <c r="H68" s="7"/>
      <c r="I68" s="7"/>
      <c r="J68" s="7"/>
      <c r="K68" s="7"/>
      <c r="L68" s="7"/>
      <c r="M68" s="8"/>
    </row>
    <row r="69" spans="1:13" x14ac:dyDescent="0.3">
      <c r="A69" s="5"/>
      <c r="B69" s="7"/>
      <c r="C69" s="7"/>
      <c r="D69" s="7"/>
      <c r="E69" s="7"/>
      <c r="F69" s="7"/>
      <c r="G69" s="7"/>
      <c r="H69" s="24"/>
      <c r="I69" s="7"/>
      <c r="J69" s="7"/>
      <c r="K69" s="7"/>
      <c r="L69" s="23"/>
      <c r="M69" s="8"/>
    </row>
    <row r="70" spans="1:13" x14ac:dyDescent="0.3">
      <c r="A70" s="5"/>
      <c r="B70" s="7"/>
      <c r="C70" s="7"/>
      <c r="D70" s="7"/>
      <c r="E70" s="7"/>
      <c r="F70" s="7"/>
      <c r="G70" s="46">
        <f>DCOUNT($A$61:$E$68,E61,$G$61:$H$62)</f>
        <v>3</v>
      </c>
      <c r="H70" s="7"/>
      <c r="I70" s="7"/>
      <c r="J70" s="46">
        <f>DCOUNT($A$61:$E$68,E61,$J$61:$L$62)</f>
        <v>2</v>
      </c>
      <c r="K70" s="7"/>
      <c r="L70" s="7"/>
      <c r="M70" s="8"/>
    </row>
    <row r="71" spans="1:13" ht="15" thickBot="1" x14ac:dyDescent="0.35">
      <c r="A71" s="115"/>
      <c r="B71" s="116"/>
      <c r="C71" s="9"/>
      <c r="D71" s="9"/>
      <c r="E71" s="18"/>
      <c r="F71" s="9"/>
      <c r="G71" s="9"/>
      <c r="H71" s="9"/>
      <c r="I71" s="9"/>
      <c r="J71" s="9"/>
      <c r="K71" s="9"/>
      <c r="L71" s="9"/>
      <c r="M71" s="10"/>
    </row>
    <row r="74" spans="1:13" x14ac:dyDescent="0.3">
      <c r="A74" s="39" t="s">
        <v>78</v>
      </c>
    </row>
    <row r="75" spans="1:13" x14ac:dyDescent="0.3">
      <c r="A75" s="39"/>
    </row>
    <row r="76" spans="1:13" x14ac:dyDescent="0.3">
      <c r="A76" t="s">
        <v>80</v>
      </c>
    </row>
    <row r="78" spans="1:13" x14ac:dyDescent="0.3">
      <c r="A78" s="1" t="s">
        <v>4</v>
      </c>
    </row>
    <row r="79" spans="1:13" x14ac:dyDescent="0.3">
      <c r="A79" s="1"/>
    </row>
    <row r="80" spans="1:13" x14ac:dyDescent="0.3">
      <c r="A80" s="20" t="s">
        <v>81</v>
      </c>
    </row>
    <row r="81" spans="1:16" x14ac:dyDescent="0.3">
      <c r="A81" s="20"/>
    </row>
    <row r="82" spans="1:16" x14ac:dyDescent="0.3">
      <c r="A82" s="1" t="s">
        <v>5</v>
      </c>
    </row>
    <row r="84" spans="1:16" x14ac:dyDescent="0.3">
      <c r="A84" s="1" t="s">
        <v>60</v>
      </c>
    </row>
    <row r="85" spans="1:16" x14ac:dyDescent="0.3">
      <c r="A85" t="s">
        <v>61</v>
      </c>
    </row>
    <row r="86" spans="1:16" x14ac:dyDescent="0.3">
      <c r="A86" s="1" t="s">
        <v>62</v>
      </c>
    </row>
    <row r="87" spans="1:16" x14ac:dyDescent="0.3">
      <c r="A87" s="113" t="s">
        <v>82</v>
      </c>
      <c r="B87" s="113"/>
      <c r="C87" s="113"/>
      <c r="D87" s="113"/>
      <c r="E87" s="113"/>
      <c r="F87" s="113"/>
      <c r="G87" s="113"/>
      <c r="H87" s="113"/>
      <c r="I87" s="113"/>
      <c r="J87" s="113"/>
      <c r="K87" s="113"/>
      <c r="L87" s="113"/>
      <c r="M87" s="113"/>
      <c r="N87" s="113"/>
      <c r="O87" s="113"/>
      <c r="P87" s="113"/>
    </row>
    <row r="88" spans="1:16" x14ac:dyDescent="0.3">
      <c r="A88" s="1" t="s">
        <v>64</v>
      </c>
    </row>
    <row r="89" spans="1:16" x14ac:dyDescent="0.3">
      <c r="A89" t="s">
        <v>65</v>
      </c>
    </row>
    <row r="91" spans="1:16" x14ac:dyDescent="0.3">
      <c r="A91" t="s">
        <v>79</v>
      </c>
    </row>
    <row r="93" spans="1:16" ht="15" thickBot="1" x14ac:dyDescent="0.35"/>
    <row r="94" spans="1:16" x14ac:dyDescent="0.3">
      <c r="A94" s="14" t="s">
        <v>3</v>
      </c>
      <c r="B94" s="3"/>
      <c r="C94" s="3"/>
      <c r="D94" s="3"/>
      <c r="E94" s="3"/>
      <c r="F94" s="3"/>
      <c r="G94" s="28" t="s">
        <v>67</v>
      </c>
      <c r="H94" s="3"/>
      <c r="I94" s="3"/>
      <c r="J94" s="3"/>
      <c r="K94" s="3"/>
      <c r="L94" s="3"/>
      <c r="M94" s="4"/>
    </row>
    <row r="95" spans="1:16" x14ac:dyDescent="0.3">
      <c r="A95" s="15"/>
      <c r="B95" s="6"/>
      <c r="C95" s="7"/>
      <c r="D95" s="7"/>
      <c r="E95" s="7"/>
      <c r="F95" s="7"/>
      <c r="G95" s="25"/>
      <c r="H95" s="25"/>
      <c r="I95" s="26"/>
      <c r="J95" s="26"/>
      <c r="K95" s="25"/>
      <c r="L95" s="27"/>
      <c r="M95" s="8"/>
    </row>
    <row r="96" spans="1:16" x14ac:dyDescent="0.3">
      <c r="A96" s="21" t="s">
        <v>6</v>
      </c>
      <c r="B96" s="11" t="s">
        <v>9</v>
      </c>
      <c r="C96" s="11" t="s">
        <v>10</v>
      </c>
      <c r="D96" s="11" t="s">
        <v>11</v>
      </c>
      <c r="E96" s="11" t="s">
        <v>12</v>
      </c>
      <c r="F96" s="11"/>
      <c r="G96" s="42" t="s">
        <v>6</v>
      </c>
      <c r="H96" s="43" t="s">
        <v>9</v>
      </c>
      <c r="I96" s="7"/>
      <c r="J96" s="42" t="s">
        <v>6</v>
      </c>
      <c r="K96" s="43" t="s">
        <v>9</v>
      </c>
      <c r="L96" s="43" t="s">
        <v>10</v>
      </c>
      <c r="M96" s="8"/>
    </row>
    <row r="97" spans="1:13" x14ac:dyDescent="0.3">
      <c r="A97" s="5" t="s">
        <v>7</v>
      </c>
      <c r="B97" s="7" t="s">
        <v>13</v>
      </c>
      <c r="C97" s="22">
        <v>37812</v>
      </c>
      <c r="D97" s="7">
        <v>10249</v>
      </c>
      <c r="E97" s="19">
        <v>1863.4</v>
      </c>
      <c r="F97" s="7"/>
      <c r="G97" s="40" t="s">
        <v>8</v>
      </c>
      <c r="H97" s="41" t="s">
        <v>14</v>
      </c>
      <c r="I97" s="7"/>
      <c r="J97" s="40" t="s">
        <v>8</v>
      </c>
      <c r="K97" s="41" t="s">
        <v>14</v>
      </c>
      <c r="L97" s="44" t="s">
        <v>68</v>
      </c>
      <c r="M97" s="8"/>
    </row>
    <row r="98" spans="1:13" x14ac:dyDescent="0.3">
      <c r="A98" s="5" t="s">
        <v>8</v>
      </c>
      <c r="B98" s="7" t="s">
        <v>14</v>
      </c>
      <c r="C98" s="22">
        <f t="shared" ref="C98:C103" si="2">C97-20</f>
        <v>37792</v>
      </c>
      <c r="D98" s="7">
        <v>10252</v>
      </c>
      <c r="E98" s="19">
        <v>3597.9</v>
      </c>
      <c r="F98" s="7"/>
      <c r="G98" s="7"/>
      <c r="H98" s="7"/>
      <c r="I98" s="7"/>
      <c r="J98" s="7"/>
      <c r="K98" s="7"/>
      <c r="L98" s="7"/>
      <c r="M98" s="8"/>
    </row>
    <row r="99" spans="1:13" x14ac:dyDescent="0.3">
      <c r="A99" s="5" t="s">
        <v>8</v>
      </c>
      <c r="B99" s="7" t="s">
        <v>14</v>
      </c>
      <c r="C99" s="22">
        <f t="shared" si="2"/>
        <v>37772</v>
      </c>
      <c r="D99" s="7">
        <v>10250</v>
      </c>
      <c r="E99" s="19">
        <v>1552.6</v>
      </c>
      <c r="F99" s="7"/>
      <c r="G99" s="45" t="s">
        <v>70</v>
      </c>
      <c r="H99" s="24"/>
      <c r="I99" s="7"/>
      <c r="J99" s="7"/>
      <c r="K99" s="7"/>
      <c r="L99" s="23"/>
      <c r="M99" s="8"/>
    </row>
    <row r="100" spans="1:13" x14ac:dyDescent="0.3">
      <c r="A100" s="5" t="s">
        <v>8</v>
      </c>
      <c r="B100" s="7" t="s">
        <v>15</v>
      </c>
      <c r="C100" s="22">
        <f t="shared" si="2"/>
        <v>37752</v>
      </c>
      <c r="D100" s="7">
        <v>10251</v>
      </c>
      <c r="E100" s="19">
        <v>654.05999999999995</v>
      </c>
      <c r="F100" s="7"/>
      <c r="G100" s="24"/>
      <c r="H100" s="24"/>
      <c r="I100" s="7"/>
      <c r="J100" s="7"/>
      <c r="K100" s="7"/>
      <c r="L100" s="23"/>
      <c r="M100" s="8"/>
    </row>
    <row r="101" spans="1:13" x14ac:dyDescent="0.3">
      <c r="A101" s="5" t="s">
        <v>7</v>
      </c>
      <c r="B101" s="7" t="s">
        <v>16</v>
      </c>
      <c r="C101" s="22">
        <f t="shared" si="2"/>
        <v>37732</v>
      </c>
      <c r="D101" s="7">
        <v>10255</v>
      </c>
      <c r="E101" s="19">
        <v>2490.5</v>
      </c>
      <c r="F101" s="7"/>
      <c r="G101" s="47" t="s">
        <v>85</v>
      </c>
      <c r="H101" s="7"/>
      <c r="I101" s="7"/>
      <c r="J101" s="47" t="s">
        <v>86</v>
      </c>
      <c r="K101" s="7"/>
      <c r="L101" s="7"/>
      <c r="M101" s="8"/>
    </row>
    <row r="102" spans="1:13" x14ac:dyDescent="0.3">
      <c r="A102" s="5" t="s">
        <v>8</v>
      </c>
      <c r="B102" s="7" t="s">
        <v>14</v>
      </c>
      <c r="C102" s="22">
        <f t="shared" si="2"/>
        <v>37712</v>
      </c>
      <c r="D102" s="7">
        <v>10253</v>
      </c>
      <c r="E102" s="19">
        <v>1444.8</v>
      </c>
      <c r="F102" s="7"/>
      <c r="G102" s="11"/>
      <c r="H102" s="24"/>
      <c r="I102" s="7"/>
      <c r="J102" s="7"/>
      <c r="K102" s="7"/>
      <c r="L102" s="23"/>
      <c r="M102" s="8"/>
    </row>
    <row r="103" spans="1:13" x14ac:dyDescent="0.3">
      <c r="A103" s="5" t="s">
        <v>7</v>
      </c>
      <c r="B103" s="7" t="s">
        <v>17</v>
      </c>
      <c r="C103" s="22">
        <f t="shared" si="2"/>
        <v>37692</v>
      </c>
      <c r="D103" s="7">
        <v>10248</v>
      </c>
      <c r="E103" s="19">
        <v>440</v>
      </c>
      <c r="F103" s="7"/>
      <c r="G103" s="45" t="s">
        <v>71</v>
      </c>
      <c r="H103" s="7"/>
      <c r="I103" s="7"/>
      <c r="J103" s="7"/>
      <c r="K103" s="7"/>
      <c r="L103" s="7"/>
      <c r="M103" s="8"/>
    </row>
    <row r="104" spans="1:13" x14ac:dyDescent="0.3">
      <c r="A104" s="5"/>
      <c r="B104" s="7"/>
      <c r="C104" s="7"/>
      <c r="D104" s="7"/>
      <c r="E104" s="7"/>
      <c r="F104" s="7"/>
      <c r="G104" s="7"/>
      <c r="H104" s="24"/>
      <c r="I104" s="7"/>
      <c r="J104" s="7"/>
      <c r="K104" s="7"/>
      <c r="L104" s="23"/>
      <c r="M104" s="8"/>
    </row>
    <row r="105" spans="1:13" x14ac:dyDescent="0.3">
      <c r="A105" s="5"/>
      <c r="B105" s="7"/>
      <c r="C105" s="7"/>
      <c r="D105" s="7"/>
      <c r="E105" s="7"/>
      <c r="F105" s="7"/>
      <c r="G105" s="46">
        <f>DCOUNTA($A$96:$E$103,E96,$G$96:$H$97)</f>
        <v>3</v>
      </c>
      <c r="H105" s="7"/>
      <c r="I105" s="7"/>
      <c r="J105" s="46">
        <f>DCOUNTA($A$96:$E$103,E96,$J$96:$L$97)</f>
        <v>2</v>
      </c>
      <c r="K105" s="7"/>
      <c r="L105" s="7"/>
      <c r="M105" s="8"/>
    </row>
    <row r="106" spans="1:13" ht="15" thickBot="1" x14ac:dyDescent="0.35">
      <c r="A106" s="115"/>
      <c r="B106" s="116"/>
      <c r="C106" s="9"/>
      <c r="D106" s="9"/>
      <c r="E106" s="18"/>
      <c r="F106" s="9"/>
      <c r="G106" s="9"/>
      <c r="H106" s="9"/>
      <c r="I106" s="9"/>
      <c r="J106" s="9"/>
      <c r="K106" s="9"/>
      <c r="L106" s="9"/>
      <c r="M106" s="10"/>
    </row>
    <row r="109" spans="1:13" x14ac:dyDescent="0.3">
      <c r="A109" s="39" t="s">
        <v>87</v>
      </c>
    </row>
    <row r="110" spans="1:13" x14ac:dyDescent="0.3">
      <c r="A110" s="39"/>
    </row>
    <row r="111" spans="1:13" x14ac:dyDescent="0.3">
      <c r="A111" t="s">
        <v>89</v>
      </c>
    </row>
    <row r="113" spans="1:16" x14ac:dyDescent="0.3">
      <c r="A113" s="1" t="s">
        <v>4</v>
      </c>
    </row>
    <row r="114" spans="1:16" x14ac:dyDescent="0.3">
      <c r="A114" s="1"/>
    </row>
    <row r="115" spans="1:16" x14ac:dyDescent="0.3">
      <c r="A115" s="20" t="s">
        <v>90</v>
      </c>
    </row>
    <row r="116" spans="1:16" x14ac:dyDescent="0.3">
      <c r="A116" s="20"/>
    </row>
    <row r="117" spans="1:16" x14ac:dyDescent="0.3">
      <c r="A117" s="1" t="s">
        <v>5</v>
      </c>
    </row>
    <row r="119" spans="1:16" x14ac:dyDescent="0.3">
      <c r="A119" s="1" t="s">
        <v>91</v>
      </c>
    </row>
    <row r="120" spans="1:16" x14ac:dyDescent="0.3">
      <c r="A120" t="s">
        <v>61</v>
      </c>
    </row>
    <row r="121" spans="1:16" x14ac:dyDescent="0.3">
      <c r="A121" s="1" t="s">
        <v>62</v>
      </c>
    </row>
    <row r="122" spans="1:16" x14ac:dyDescent="0.3">
      <c r="A122" s="113" t="s">
        <v>92</v>
      </c>
      <c r="B122" s="113"/>
      <c r="C122" s="113"/>
      <c r="D122" s="113"/>
      <c r="E122" s="113"/>
      <c r="F122" s="113"/>
      <c r="G122" s="113"/>
      <c r="H122" s="113"/>
      <c r="I122" s="113"/>
      <c r="J122" s="113"/>
      <c r="K122" s="113"/>
      <c r="L122" s="113"/>
      <c r="M122" s="113"/>
      <c r="N122" s="113"/>
      <c r="O122" s="113"/>
      <c r="P122" s="113"/>
    </row>
    <row r="123" spans="1:16" x14ac:dyDescent="0.3">
      <c r="A123" s="1" t="s">
        <v>64</v>
      </c>
    </row>
    <row r="124" spans="1:16" x14ac:dyDescent="0.3">
      <c r="A124" t="s">
        <v>65</v>
      </c>
    </row>
    <row r="126" spans="1:16" x14ac:dyDescent="0.3">
      <c r="A126" t="s">
        <v>88</v>
      </c>
    </row>
    <row r="127" spans="1:16" ht="15" thickBot="1" x14ac:dyDescent="0.35"/>
    <row r="128" spans="1:16" x14ac:dyDescent="0.3">
      <c r="A128" s="14" t="s">
        <v>3</v>
      </c>
      <c r="B128" s="3"/>
      <c r="C128" s="3"/>
      <c r="D128" s="3"/>
      <c r="E128" s="3"/>
      <c r="F128" s="3"/>
      <c r="G128" s="28" t="s">
        <v>67</v>
      </c>
      <c r="H128" s="3"/>
      <c r="I128" s="3"/>
      <c r="J128" s="3"/>
      <c r="K128" s="3"/>
      <c r="L128" s="3"/>
      <c r="M128" s="4"/>
    </row>
    <row r="129" spans="1:13" x14ac:dyDescent="0.3">
      <c r="A129" s="15"/>
      <c r="B129" s="6"/>
      <c r="C129" s="7"/>
      <c r="D129" s="7"/>
      <c r="E129" s="7"/>
      <c r="F129" s="7"/>
      <c r="G129" s="25"/>
      <c r="H129" s="25"/>
      <c r="I129" s="26"/>
      <c r="J129" s="26"/>
      <c r="K129" s="25"/>
      <c r="L129" s="27"/>
      <c r="M129" s="8"/>
    </row>
    <row r="130" spans="1:13" x14ac:dyDescent="0.3">
      <c r="A130" s="21" t="s">
        <v>6</v>
      </c>
      <c r="B130" s="11" t="s">
        <v>9</v>
      </c>
      <c r="C130" s="11" t="s">
        <v>10</v>
      </c>
      <c r="D130" s="11" t="s">
        <v>11</v>
      </c>
      <c r="E130" s="11" t="s">
        <v>12</v>
      </c>
      <c r="F130" s="11"/>
      <c r="G130" s="42" t="s">
        <v>6</v>
      </c>
      <c r="H130" s="43" t="s">
        <v>9</v>
      </c>
      <c r="I130" s="7"/>
      <c r="J130" s="42" t="s">
        <v>6</v>
      </c>
      <c r="K130" s="43" t="s">
        <v>9</v>
      </c>
      <c r="L130" s="43" t="s">
        <v>10</v>
      </c>
      <c r="M130" s="8"/>
    </row>
    <row r="131" spans="1:13" x14ac:dyDescent="0.3">
      <c r="A131" s="5" t="s">
        <v>7</v>
      </c>
      <c r="B131" s="7" t="s">
        <v>13</v>
      </c>
      <c r="C131" s="22">
        <v>37812</v>
      </c>
      <c r="D131" s="7">
        <v>10249</v>
      </c>
      <c r="E131" s="19">
        <v>1863.4</v>
      </c>
      <c r="F131" s="7"/>
      <c r="G131" s="40" t="s">
        <v>8</v>
      </c>
      <c r="H131" s="41" t="s">
        <v>14</v>
      </c>
      <c r="I131" s="7"/>
      <c r="J131" s="40" t="s">
        <v>8</v>
      </c>
      <c r="K131" s="41" t="s">
        <v>14</v>
      </c>
      <c r="L131" s="44" t="s">
        <v>68</v>
      </c>
      <c r="M131" s="8"/>
    </row>
    <row r="132" spans="1:13" x14ac:dyDescent="0.3">
      <c r="A132" s="5" t="s">
        <v>8</v>
      </c>
      <c r="B132" s="7" t="s">
        <v>14</v>
      </c>
      <c r="C132" s="22">
        <f t="shared" ref="C132:C137" si="3">C131-20</f>
        <v>37792</v>
      </c>
      <c r="D132" s="7">
        <v>10252</v>
      </c>
      <c r="E132" s="19">
        <v>3597.9</v>
      </c>
      <c r="F132" s="7"/>
      <c r="G132" s="7"/>
      <c r="H132" s="7"/>
      <c r="I132" s="7"/>
      <c r="J132" s="7"/>
      <c r="K132" s="7"/>
      <c r="L132" s="7"/>
      <c r="M132" s="8"/>
    </row>
    <row r="133" spans="1:13" x14ac:dyDescent="0.3">
      <c r="A133" s="5" t="s">
        <v>8</v>
      </c>
      <c r="B133" s="7" t="s">
        <v>14</v>
      </c>
      <c r="C133" s="22">
        <f t="shared" si="3"/>
        <v>37772</v>
      </c>
      <c r="D133" s="7">
        <v>10250</v>
      </c>
      <c r="E133" s="19">
        <v>1552.6</v>
      </c>
      <c r="F133" s="7"/>
      <c r="G133" s="45" t="s">
        <v>70</v>
      </c>
      <c r="H133" s="24"/>
      <c r="I133" s="7"/>
      <c r="J133" s="7"/>
      <c r="K133" s="7"/>
      <c r="L133" s="23"/>
      <c r="M133" s="8"/>
    </row>
    <row r="134" spans="1:13" x14ac:dyDescent="0.3">
      <c r="A134" s="5" t="s">
        <v>8</v>
      </c>
      <c r="B134" s="7" t="s">
        <v>15</v>
      </c>
      <c r="C134" s="22">
        <f t="shared" si="3"/>
        <v>37752</v>
      </c>
      <c r="D134" s="7">
        <v>10251</v>
      </c>
      <c r="E134" s="19">
        <v>654.05999999999995</v>
      </c>
      <c r="F134" s="7"/>
      <c r="G134" s="24"/>
      <c r="H134" s="24"/>
      <c r="I134" s="7"/>
      <c r="J134" s="7"/>
      <c r="K134" s="7"/>
      <c r="L134" s="23"/>
      <c r="M134" s="8"/>
    </row>
    <row r="135" spans="1:13" x14ac:dyDescent="0.3">
      <c r="A135" s="5" t="s">
        <v>7</v>
      </c>
      <c r="B135" s="7" t="s">
        <v>16</v>
      </c>
      <c r="C135" s="22">
        <f t="shared" si="3"/>
        <v>37732</v>
      </c>
      <c r="D135" s="7">
        <v>10255</v>
      </c>
      <c r="E135" s="19">
        <v>2490.5</v>
      </c>
      <c r="F135" s="7"/>
      <c r="G135" s="47" t="s">
        <v>93</v>
      </c>
      <c r="H135" s="7"/>
      <c r="I135" s="7"/>
      <c r="J135" s="47" t="s">
        <v>94</v>
      </c>
      <c r="K135" s="7"/>
      <c r="L135" s="7"/>
      <c r="M135" s="8"/>
    </row>
    <row r="136" spans="1:13" x14ac:dyDescent="0.3">
      <c r="A136" s="5" t="s">
        <v>8</v>
      </c>
      <c r="B136" s="7" t="s">
        <v>14</v>
      </c>
      <c r="C136" s="22">
        <f t="shared" si="3"/>
        <v>37712</v>
      </c>
      <c r="D136" s="7">
        <v>10253</v>
      </c>
      <c r="E136" s="19">
        <v>1444.8</v>
      </c>
      <c r="F136" s="7"/>
      <c r="G136" s="11"/>
      <c r="H136" s="24"/>
      <c r="I136" s="7"/>
      <c r="J136" s="7"/>
      <c r="K136" s="7"/>
      <c r="L136" s="23"/>
      <c r="M136" s="8"/>
    </row>
    <row r="137" spans="1:13" x14ac:dyDescent="0.3">
      <c r="A137" s="5" t="s">
        <v>7</v>
      </c>
      <c r="B137" s="7" t="s">
        <v>17</v>
      </c>
      <c r="C137" s="22">
        <f t="shared" si="3"/>
        <v>37692</v>
      </c>
      <c r="D137" s="7">
        <v>10248</v>
      </c>
      <c r="E137" s="19">
        <v>440</v>
      </c>
      <c r="F137" s="7"/>
      <c r="G137" s="45" t="s">
        <v>71</v>
      </c>
      <c r="H137" s="7"/>
      <c r="I137" s="7"/>
      <c r="J137" s="7"/>
      <c r="K137" s="7"/>
      <c r="L137" s="7"/>
      <c r="M137" s="8"/>
    </row>
    <row r="138" spans="1:13" x14ac:dyDescent="0.3">
      <c r="A138" s="5"/>
      <c r="B138" s="7"/>
      <c r="C138" s="7"/>
      <c r="D138" s="7"/>
      <c r="E138" s="7"/>
      <c r="F138" s="7"/>
      <c r="G138" s="7"/>
      <c r="H138" s="24"/>
      <c r="I138" s="7"/>
      <c r="J138" s="7"/>
      <c r="K138" s="7"/>
      <c r="L138" s="23"/>
      <c r="M138" s="8"/>
    </row>
    <row r="139" spans="1:13" x14ac:dyDescent="0.3">
      <c r="A139" s="5"/>
      <c r="B139" s="7"/>
      <c r="C139" s="7"/>
      <c r="D139" s="7"/>
      <c r="E139" s="7"/>
      <c r="F139" s="7"/>
      <c r="G139" s="46">
        <f>DMAX($A$130:$E$137,E130,$G$130:$H$131)</f>
        <v>3597.9</v>
      </c>
      <c r="H139" s="7"/>
      <c r="I139" s="7"/>
      <c r="J139" s="46">
        <f>DMAX($A$130:$E$137,E130,$J$130:$L$131)</f>
        <v>3597.9</v>
      </c>
      <c r="K139" s="7"/>
      <c r="L139" s="7"/>
      <c r="M139" s="8"/>
    </row>
    <row r="140" spans="1:13" ht="15" thickBot="1" x14ac:dyDescent="0.35">
      <c r="A140" s="115"/>
      <c r="B140" s="116"/>
      <c r="C140" s="9"/>
      <c r="D140" s="9"/>
      <c r="E140" s="18"/>
      <c r="F140" s="9"/>
      <c r="G140" s="9"/>
      <c r="H140" s="9"/>
      <c r="I140" s="9"/>
      <c r="J140" s="9"/>
      <c r="K140" s="9"/>
      <c r="L140" s="9"/>
      <c r="M140" s="10"/>
    </row>
    <row r="143" spans="1:13" x14ac:dyDescent="0.3">
      <c r="A143" s="39" t="s">
        <v>95</v>
      </c>
    </row>
    <row r="144" spans="1:13" x14ac:dyDescent="0.3">
      <c r="A144" s="39"/>
    </row>
    <row r="145" spans="1:16" x14ac:dyDescent="0.3">
      <c r="A145" t="s">
        <v>98</v>
      </c>
    </row>
    <row r="147" spans="1:16" x14ac:dyDescent="0.3">
      <c r="A147" s="1" t="s">
        <v>4</v>
      </c>
    </row>
    <row r="148" spans="1:16" x14ac:dyDescent="0.3">
      <c r="A148" s="1"/>
    </row>
    <row r="149" spans="1:16" x14ac:dyDescent="0.3">
      <c r="A149" s="20" t="s">
        <v>96</v>
      </c>
    </row>
    <row r="150" spans="1:16" x14ac:dyDescent="0.3">
      <c r="A150" s="20"/>
    </row>
    <row r="151" spans="1:16" x14ac:dyDescent="0.3">
      <c r="A151" s="1" t="s">
        <v>5</v>
      </c>
    </row>
    <row r="153" spans="1:16" x14ac:dyDescent="0.3">
      <c r="A153" s="1" t="s">
        <v>91</v>
      </c>
    </row>
    <row r="154" spans="1:16" x14ac:dyDescent="0.3">
      <c r="A154" t="s">
        <v>61</v>
      </c>
    </row>
    <row r="155" spans="1:16" x14ac:dyDescent="0.3">
      <c r="A155" s="1" t="s">
        <v>62</v>
      </c>
    </row>
    <row r="156" spans="1:16" x14ac:dyDescent="0.3">
      <c r="A156" s="113" t="s">
        <v>99</v>
      </c>
      <c r="B156" s="113"/>
      <c r="C156" s="113"/>
      <c r="D156" s="113"/>
      <c r="E156" s="113"/>
      <c r="F156" s="113"/>
      <c r="G156" s="113"/>
      <c r="H156" s="113"/>
      <c r="I156" s="113"/>
      <c r="J156" s="113"/>
      <c r="K156" s="113"/>
      <c r="L156" s="113"/>
      <c r="M156" s="113"/>
      <c r="N156" s="113"/>
      <c r="O156" s="113"/>
      <c r="P156" s="113"/>
    </row>
    <row r="157" spans="1:16" x14ac:dyDescent="0.3">
      <c r="A157" s="1" t="s">
        <v>64</v>
      </c>
    </row>
    <row r="158" spans="1:16" x14ac:dyDescent="0.3">
      <c r="A158" t="s">
        <v>65</v>
      </c>
    </row>
    <row r="160" spans="1:16" x14ac:dyDescent="0.3">
      <c r="A160" t="s">
        <v>97</v>
      </c>
    </row>
    <row r="161" spans="1:13" ht="15" thickBot="1" x14ac:dyDescent="0.35"/>
    <row r="162" spans="1:13" x14ac:dyDescent="0.3">
      <c r="A162" s="14" t="s">
        <v>3</v>
      </c>
      <c r="B162" s="3"/>
      <c r="C162" s="3"/>
      <c r="D162" s="3"/>
      <c r="E162" s="3"/>
      <c r="F162" s="3"/>
      <c r="G162" s="28" t="s">
        <v>67</v>
      </c>
      <c r="H162" s="3"/>
      <c r="I162" s="3"/>
      <c r="J162" s="3"/>
      <c r="K162" s="3"/>
      <c r="L162" s="3"/>
      <c r="M162" s="4"/>
    </row>
    <row r="163" spans="1:13" x14ac:dyDescent="0.3">
      <c r="A163" s="15"/>
      <c r="B163" s="6"/>
      <c r="C163" s="7"/>
      <c r="D163" s="7"/>
      <c r="E163" s="7"/>
      <c r="F163" s="7"/>
      <c r="G163" s="25"/>
      <c r="H163" s="25"/>
      <c r="I163" s="26"/>
      <c r="J163" s="26"/>
      <c r="K163" s="25"/>
      <c r="L163" s="27"/>
      <c r="M163" s="8"/>
    </row>
    <row r="164" spans="1:13" x14ac:dyDescent="0.3">
      <c r="A164" s="21" t="s">
        <v>6</v>
      </c>
      <c r="B164" s="11" t="s">
        <v>9</v>
      </c>
      <c r="C164" s="11" t="s">
        <v>10</v>
      </c>
      <c r="D164" s="11" t="s">
        <v>11</v>
      </c>
      <c r="E164" s="11" t="s">
        <v>12</v>
      </c>
      <c r="F164" s="11"/>
      <c r="G164" s="42" t="s">
        <v>6</v>
      </c>
      <c r="H164" s="43" t="s">
        <v>9</v>
      </c>
      <c r="I164" s="7"/>
      <c r="J164" s="42" t="s">
        <v>6</v>
      </c>
      <c r="K164" s="43" t="s">
        <v>9</v>
      </c>
      <c r="L164" s="43" t="s">
        <v>10</v>
      </c>
      <c r="M164" s="8"/>
    </row>
    <row r="165" spans="1:13" x14ac:dyDescent="0.3">
      <c r="A165" s="5" t="s">
        <v>7</v>
      </c>
      <c r="B165" s="7" t="s">
        <v>13</v>
      </c>
      <c r="C165" s="22">
        <v>37812</v>
      </c>
      <c r="D165" s="7">
        <v>10249</v>
      </c>
      <c r="E165" s="19">
        <v>1863.4</v>
      </c>
      <c r="F165" s="7"/>
      <c r="G165" s="40" t="s">
        <v>8</v>
      </c>
      <c r="H165" s="41" t="s">
        <v>14</v>
      </c>
      <c r="I165" s="7"/>
      <c r="J165" s="40" t="s">
        <v>8</v>
      </c>
      <c r="K165" s="41" t="s">
        <v>14</v>
      </c>
      <c r="L165" s="44" t="s">
        <v>68</v>
      </c>
      <c r="M165" s="8"/>
    </row>
    <row r="166" spans="1:13" x14ac:dyDescent="0.3">
      <c r="A166" s="5" t="s">
        <v>8</v>
      </c>
      <c r="B166" s="7" t="s">
        <v>14</v>
      </c>
      <c r="C166" s="22">
        <f t="shared" ref="C166:C171" si="4">C165-20</f>
        <v>37792</v>
      </c>
      <c r="D166" s="7">
        <v>10252</v>
      </c>
      <c r="E166" s="19">
        <v>3597.9</v>
      </c>
      <c r="F166" s="7"/>
      <c r="G166" s="7"/>
      <c r="H166" s="7"/>
      <c r="I166" s="7"/>
      <c r="J166" s="7"/>
      <c r="K166" s="7"/>
      <c r="L166" s="7"/>
      <c r="M166" s="8"/>
    </row>
    <row r="167" spans="1:13" x14ac:dyDescent="0.3">
      <c r="A167" s="5" t="s">
        <v>8</v>
      </c>
      <c r="B167" s="7" t="s">
        <v>14</v>
      </c>
      <c r="C167" s="22">
        <f t="shared" si="4"/>
        <v>37772</v>
      </c>
      <c r="D167" s="7">
        <v>10250</v>
      </c>
      <c r="E167" s="19">
        <v>1552.6</v>
      </c>
      <c r="F167" s="7"/>
      <c r="G167" s="45" t="s">
        <v>70</v>
      </c>
      <c r="H167" s="24"/>
      <c r="I167" s="7"/>
      <c r="J167" s="7"/>
      <c r="K167" s="7"/>
      <c r="L167" s="23"/>
      <c r="M167" s="8"/>
    </row>
    <row r="168" spans="1:13" x14ac:dyDescent="0.3">
      <c r="A168" s="5" t="s">
        <v>8</v>
      </c>
      <c r="B168" s="7" t="s">
        <v>15</v>
      </c>
      <c r="C168" s="22">
        <f t="shared" si="4"/>
        <v>37752</v>
      </c>
      <c r="D168" s="7">
        <v>10251</v>
      </c>
      <c r="E168" s="19">
        <v>654.05999999999995</v>
      </c>
      <c r="F168" s="7"/>
      <c r="G168" s="24"/>
      <c r="H168" s="24"/>
      <c r="I168" s="7"/>
      <c r="J168" s="7"/>
      <c r="K168" s="7"/>
      <c r="L168" s="23"/>
      <c r="M168" s="8"/>
    </row>
    <row r="169" spans="1:13" x14ac:dyDescent="0.3">
      <c r="A169" s="5" t="s">
        <v>7</v>
      </c>
      <c r="B169" s="7" t="s">
        <v>16</v>
      </c>
      <c r="C169" s="22">
        <f t="shared" si="4"/>
        <v>37732</v>
      </c>
      <c r="D169" s="7">
        <v>10255</v>
      </c>
      <c r="E169" s="19">
        <v>2490.5</v>
      </c>
      <c r="F169" s="7"/>
      <c r="G169" s="47" t="s">
        <v>101</v>
      </c>
      <c r="H169" s="7"/>
      <c r="I169" s="7"/>
      <c r="J169" s="47" t="s">
        <v>100</v>
      </c>
      <c r="K169" s="7"/>
      <c r="L169" s="7"/>
      <c r="M169" s="8"/>
    </row>
    <row r="170" spans="1:13" x14ac:dyDescent="0.3">
      <c r="A170" s="5" t="s">
        <v>8</v>
      </c>
      <c r="B170" s="7" t="s">
        <v>14</v>
      </c>
      <c r="C170" s="22">
        <f t="shared" si="4"/>
        <v>37712</v>
      </c>
      <c r="D170" s="7">
        <v>10253</v>
      </c>
      <c r="E170" s="19">
        <v>1444.8</v>
      </c>
      <c r="F170" s="7"/>
      <c r="G170" s="11"/>
      <c r="H170" s="24"/>
      <c r="I170" s="7"/>
      <c r="J170" s="7"/>
      <c r="K170" s="7"/>
      <c r="L170" s="23"/>
      <c r="M170" s="8"/>
    </row>
    <row r="171" spans="1:13" x14ac:dyDescent="0.3">
      <c r="A171" s="5" t="s">
        <v>7</v>
      </c>
      <c r="B171" s="7" t="s">
        <v>17</v>
      </c>
      <c r="C171" s="22">
        <f t="shared" si="4"/>
        <v>37692</v>
      </c>
      <c r="D171" s="7">
        <v>10248</v>
      </c>
      <c r="E171" s="19">
        <v>440</v>
      </c>
      <c r="F171" s="7"/>
      <c r="G171" s="45" t="s">
        <v>71</v>
      </c>
      <c r="H171" s="7"/>
      <c r="I171" s="7"/>
      <c r="J171" s="7"/>
      <c r="K171" s="7"/>
      <c r="L171" s="7"/>
      <c r="M171" s="8"/>
    </row>
    <row r="172" spans="1:13" x14ac:dyDescent="0.3">
      <c r="A172" s="5"/>
      <c r="B172" s="7"/>
      <c r="C172" s="7"/>
      <c r="D172" s="7"/>
      <c r="E172" s="7"/>
      <c r="F172" s="7"/>
      <c r="G172" s="7"/>
      <c r="H172" s="24"/>
      <c r="I172" s="7"/>
      <c r="J172" s="7"/>
      <c r="K172" s="7"/>
      <c r="L172" s="23"/>
      <c r="M172" s="8"/>
    </row>
    <row r="173" spans="1:13" x14ac:dyDescent="0.3">
      <c r="A173" s="5"/>
      <c r="B173" s="7"/>
      <c r="C173" s="7"/>
      <c r="D173" s="7"/>
      <c r="E173" s="7"/>
      <c r="F173" s="7"/>
      <c r="G173" s="46">
        <f>DMIN($A$164:$E$171,E164,$G$164:$H$165)</f>
        <v>1444.8</v>
      </c>
      <c r="H173" s="7"/>
      <c r="I173" s="7"/>
      <c r="J173" s="46">
        <f>DMIN($A$164:$E$171,E164,$J$164:$L$165)</f>
        <v>1552.6</v>
      </c>
      <c r="K173" s="7"/>
      <c r="L173" s="7"/>
      <c r="M173" s="8"/>
    </row>
    <row r="174" spans="1:13" ht="15" thickBot="1" x14ac:dyDescent="0.35">
      <c r="A174" s="115"/>
      <c r="B174" s="116"/>
      <c r="C174" s="9"/>
      <c r="D174" s="9"/>
      <c r="E174" s="18"/>
      <c r="F174" s="9"/>
      <c r="G174" s="9"/>
      <c r="H174" s="9"/>
      <c r="I174" s="9"/>
      <c r="J174" s="9"/>
      <c r="K174" s="9"/>
      <c r="L174" s="9"/>
      <c r="M174" s="10"/>
    </row>
    <row r="177" spans="1:16" x14ac:dyDescent="0.3">
      <c r="A177" s="39" t="s">
        <v>102</v>
      </c>
    </row>
    <row r="178" spans="1:16" x14ac:dyDescent="0.3">
      <c r="A178" s="39"/>
    </row>
    <row r="179" spans="1:16" x14ac:dyDescent="0.3">
      <c r="A179" t="s">
        <v>105</v>
      </c>
    </row>
    <row r="181" spans="1:16" x14ac:dyDescent="0.3">
      <c r="A181" s="1" t="s">
        <v>4</v>
      </c>
    </row>
    <row r="182" spans="1:16" x14ac:dyDescent="0.3">
      <c r="A182" s="1"/>
    </row>
    <row r="183" spans="1:16" x14ac:dyDescent="0.3">
      <c r="A183" s="20" t="s">
        <v>103</v>
      </c>
    </row>
    <row r="184" spans="1:16" x14ac:dyDescent="0.3">
      <c r="A184" s="20"/>
    </row>
    <row r="185" spans="1:16" x14ac:dyDescent="0.3">
      <c r="A185" s="1" t="s">
        <v>5</v>
      </c>
    </row>
    <row r="187" spans="1:16" x14ac:dyDescent="0.3">
      <c r="A187" s="1" t="s">
        <v>91</v>
      </c>
    </row>
    <row r="188" spans="1:16" x14ac:dyDescent="0.3">
      <c r="A188" t="s">
        <v>61</v>
      </c>
    </row>
    <row r="189" spans="1:16" x14ac:dyDescent="0.3">
      <c r="A189" s="1" t="s">
        <v>62</v>
      </c>
    </row>
    <row r="190" spans="1:16" x14ac:dyDescent="0.3">
      <c r="A190" s="113" t="s">
        <v>106</v>
      </c>
      <c r="B190" s="113"/>
      <c r="C190" s="113"/>
      <c r="D190" s="113"/>
      <c r="E190" s="113"/>
      <c r="F190" s="113"/>
      <c r="G190" s="113"/>
      <c r="H190" s="113"/>
      <c r="I190" s="113"/>
      <c r="J190" s="113"/>
      <c r="K190" s="113"/>
      <c r="L190" s="113"/>
      <c r="M190" s="113"/>
      <c r="N190" s="113"/>
      <c r="O190" s="113"/>
      <c r="P190" s="113"/>
    </row>
    <row r="191" spans="1:16" x14ac:dyDescent="0.3">
      <c r="A191" s="1" t="s">
        <v>64</v>
      </c>
    </row>
    <row r="192" spans="1:16" x14ac:dyDescent="0.3">
      <c r="A192" t="s">
        <v>65</v>
      </c>
    </row>
    <row r="194" spans="1:13" x14ac:dyDescent="0.3">
      <c r="A194" t="s">
        <v>104</v>
      </c>
    </row>
    <row r="195" spans="1:13" ht="15" thickBot="1" x14ac:dyDescent="0.35"/>
    <row r="196" spans="1:13" x14ac:dyDescent="0.3">
      <c r="A196" s="14" t="s">
        <v>3</v>
      </c>
      <c r="B196" s="3"/>
      <c r="C196" s="3"/>
      <c r="D196" s="3"/>
      <c r="E196" s="3"/>
      <c r="F196" s="3"/>
      <c r="G196" s="28" t="s">
        <v>67</v>
      </c>
      <c r="H196" s="3"/>
      <c r="I196" s="3"/>
      <c r="J196" s="3"/>
      <c r="K196" s="3"/>
      <c r="L196" s="3"/>
      <c r="M196" s="4"/>
    </row>
    <row r="197" spans="1:13" x14ac:dyDescent="0.3">
      <c r="A197" s="15"/>
      <c r="B197" s="6"/>
      <c r="C197" s="7"/>
      <c r="D197" s="7"/>
      <c r="E197" s="7"/>
      <c r="F197" s="7"/>
      <c r="G197" s="25"/>
      <c r="H197" s="25"/>
      <c r="I197" s="26"/>
      <c r="J197" s="26"/>
      <c r="K197" s="25"/>
      <c r="L197" s="27"/>
      <c r="M197" s="8"/>
    </row>
    <row r="198" spans="1:13" x14ac:dyDescent="0.3">
      <c r="A198" s="21" t="s">
        <v>6</v>
      </c>
      <c r="B198" s="11" t="s">
        <v>9</v>
      </c>
      <c r="C198" s="11" t="s">
        <v>10</v>
      </c>
      <c r="D198" s="11" t="s">
        <v>11</v>
      </c>
      <c r="E198" s="11" t="s">
        <v>12</v>
      </c>
      <c r="F198" s="11"/>
      <c r="G198" s="42" t="s">
        <v>6</v>
      </c>
      <c r="H198" s="43" t="s">
        <v>9</v>
      </c>
      <c r="I198" s="7"/>
      <c r="J198" s="42" t="s">
        <v>6</v>
      </c>
      <c r="K198" s="43" t="s">
        <v>9</v>
      </c>
      <c r="L198" s="43" t="s">
        <v>10</v>
      </c>
      <c r="M198" s="8"/>
    </row>
    <row r="199" spans="1:13" x14ac:dyDescent="0.3">
      <c r="A199" s="5" t="s">
        <v>7</v>
      </c>
      <c r="B199" s="7" t="s">
        <v>13</v>
      </c>
      <c r="C199" s="22">
        <v>37812</v>
      </c>
      <c r="D199" s="7">
        <v>10249</v>
      </c>
      <c r="E199" s="19">
        <v>1863.4</v>
      </c>
      <c r="F199" s="7"/>
      <c r="G199" s="40" t="s">
        <v>8</v>
      </c>
      <c r="H199" s="41" t="s">
        <v>14</v>
      </c>
      <c r="I199" s="7"/>
      <c r="J199" s="40" t="s">
        <v>8</v>
      </c>
      <c r="K199" s="41" t="s">
        <v>14</v>
      </c>
      <c r="L199" s="44" t="s">
        <v>68</v>
      </c>
      <c r="M199" s="8"/>
    </row>
    <row r="200" spans="1:13" x14ac:dyDescent="0.3">
      <c r="A200" s="5" t="s">
        <v>8</v>
      </c>
      <c r="B200" s="7" t="s">
        <v>14</v>
      </c>
      <c r="C200" s="22">
        <f t="shared" ref="C200:C205" si="5">C199-20</f>
        <v>37792</v>
      </c>
      <c r="D200" s="7">
        <v>10252</v>
      </c>
      <c r="E200" s="19">
        <v>3597.9</v>
      </c>
      <c r="F200" s="7"/>
      <c r="G200" s="7"/>
      <c r="H200" s="7"/>
      <c r="I200" s="7"/>
      <c r="J200" s="7"/>
      <c r="K200" s="7"/>
      <c r="L200" s="7"/>
      <c r="M200" s="8"/>
    </row>
    <row r="201" spans="1:13" x14ac:dyDescent="0.3">
      <c r="A201" s="5" t="s">
        <v>8</v>
      </c>
      <c r="B201" s="7" t="s">
        <v>14</v>
      </c>
      <c r="C201" s="22">
        <f t="shared" si="5"/>
        <v>37772</v>
      </c>
      <c r="D201" s="7">
        <v>10250</v>
      </c>
      <c r="E201" s="19">
        <v>1552.6</v>
      </c>
      <c r="F201" s="7"/>
      <c r="G201" s="45" t="s">
        <v>70</v>
      </c>
      <c r="H201" s="24"/>
      <c r="I201" s="7"/>
      <c r="J201" s="7"/>
      <c r="K201" s="7"/>
      <c r="L201" s="23"/>
      <c r="M201" s="8"/>
    </row>
    <row r="202" spans="1:13" x14ac:dyDescent="0.3">
      <c r="A202" s="5" t="s">
        <v>8</v>
      </c>
      <c r="B202" s="7" t="s">
        <v>15</v>
      </c>
      <c r="C202" s="22">
        <f t="shared" si="5"/>
        <v>37752</v>
      </c>
      <c r="D202" s="7">
        <v>10251</v>
      </c>
      <c r="E202" s="19">
        <v>654.05999999999995</v>
      </c>
      <c r="F202" s="7"/>
      <c r="G202" s="24"/>
      <c r="H202" s="24"/>
      <c r="I202" s="7"/>
      <c r="J202" s="7"/>
      <c r="K202" s="7"/>
      <c r="L202" s="23"/>
      <c r="M202" s="8"/>
    </row>
    <row r="203" spans="1:13" x14ac:dyDescent="0.3">
      <c r="A203" s="5" t="s">
        <v>7</v>
      </c>
      <c r="B203" s="7" t="s">
        <v>16</v>
      </c>
      <c r="C203" s="22">
        <f t="shared" si="5"/>
        <v>37732</v>
      </c>
      <c r="D203" s="7">
        <v>10255</v>
      </c>
      <c r="E203" s="19">
        <v>2490.5</v>
      </c>
      <c r="F203" s="7"/>
      <c r="G203" s="47" t="s">
        <v>108</v>
      </c>
      <c r="H203" s="7"/>
      <c r="I203" s="7"/>
      <c r="J203" s="47" t="s">
        <v>107</v>
      </c>
      <c r="K203" s="7"/>
      <c r="L203" s="7"/>
      <c r="M203" s="8"/>
    </row>
    <row r="204" spans="1:13" x14ac:dyDescent="0.3">
      <c r="A204" s="5" t="s">
        <v>8</v>
      </c>
      <c r="B204" s="7" t="s">
        <v>14</v>
      </c>
      <c r="C204" s="22">
        <f t="shared" si="5"/>
        <v>37712</v>
      </c>
      <c r="D204" s="7">
        <v>10253</v>
      </c>
      <c r="E204" s="19">
        <v>1444.8</v>
      </c>
      <c r="F204" s="7"/>
      <c r="G204" s="11"/>
      <c r="H204" s="24"/>
      <c r="I204" s="7"/>
      <c r="J204" s="7"/>
      <c r="K204" s="7"/>
      <c r="L204" s="23"/>
      <c r="M204" s="8"/>
    </row>
    <row r="205" spans="1:13" x14ac:dyDescent="0.3">
      <c r="A205" s="5" t="s">
        <v>7</v>
      </c>
      <c r="B205" s="7" t="s">
        <v>17</v>
      </c>
      <c r="C205" s="22">
        <f t="shared" si="5"/>
        <v>37692</v>
      </c>
      <c r="D205" s="7">
        <v>10248</v>
      </c>
      <c r="E205" s="19">
        <v>440</v>
      </c>
      <c r="F205" s="7"/>
      <c r="G205" s="45" t="s">
        <v>71</v>
      </c>
      <c r="H205" s="7"/>
      <c r="I205" s="7"/>
      <c r="J205" s="7"/>
      <c r="K205" s="7"/>
      <c r="L205" s="7"/>
      <c r="M205" s="8"/>
    </row>
    <row r="206" spans="1:13" x14ac:dyDescent="0.3">
      <c r="A206" s="5"/>
      <c r="B206" s="7"/>
      <c r="C206" s="7"/>
      <c r="D206" s="7"/>
      <c r="E206" s="7"/>
      <c r="F206" s="7"/>
      <c r="G206" s="7"/>
      <c r="H206" s="24"/>
      <c r="I206" s="7"/>
      <c r="J206" s="7"/>
      <c r="K206" s="7"/>
      <c r="L206" s="23"/>
      <c r="M206" s="8"/>
    </row>
    <row r="207" spans="1:13" x14ac:dyDescent="0.3">
      <c r="A207" s="5"/>
      <c r="B207" s="7"/>
      <c r="C207" s="7"/>
      <c r="D207" s="7"/>
      <c r="E207" s="7"/>
      <c r="F207" s="7"/>
      <c r="G207" s="46">
        <f>DAVERAGE($A$198:$E$205,E198,$G$198:$H$199)</f>
        <v>2198.4333333333334</v>
      </c>
      <c r="H207" s="7"/>
      <c r="I207" s="7"/>
      <c r="J207" s="46">
        <f>DAVERAGE($A$198:$E$205,E198,$J$198:$L$199)</f>
        <v>2575.25</v>
      </c>
      <c r="K207" s="7"/>
      <c r="L207" s="7"/>
      <c r="M207" s="8"/>
    </row>
    <row r="208" spans="1:13" ht="15" thickBot="1" x14ac:dyDescent="0.35">
      <c r="A208" s="115"/>
      <c r="B208" s="116"/>
      <c r="C208" s="9"/>
      <c r="D208" s="9"/>
      <c r="E208" s="18"/>
      <c r="F208" s="9"/>
      <c r="G208" s="9"/>
      <c r="H208" s="9"/>
      <c r="I208" s="9"/>
      <c r="J208" s="9"/>
      <c r="K208" s="9"/>
      <c r="L208" s="9"/>
      <c r="M208" s="10"/>
    </row>
    <row r="218" spans="1:13" x14ac:dyDescent="0.3">
      <c r="A218" s="1" t="s">
        <v>6</v>
      </c>
      <c r="B218" s="1" t="s">
        <v>9</v>
      </c>
      <c r="C218" s="63" t="s">
        <v>10</v>
      </c>
      <c r="D218" s="1" t="s">
        <v>11</v>
      </c>
      <c r="E218" s="1" t="s">
        <v>12</v>
      </c>
      <c r="I218" t="s">
        <v>6</v>
      </c>
      <c r="J218" t="s">
        <v>9</v>
      </c>
      <c r="K218" t="s">
        <v>57</v>
      </c>
      <c r="L218" t="s">
        <v>299</v>
      </c>
      <c r="M218" t="s">
        <v>312</v>
      </c>
    </row>
    <row r="219" spans="1:13" x14ac:dyDescent="0.3">
      <c r="A219" t="s">
        <v>7</v>
      </c>
      <c r="B219" t="s">
        <v>13</v>
      </c>
      <c r="C219" s="62">
        <v>37812</v>
      </c>
      <c r="D219">
        <v>10249</v>
      </c>
      <c r="E219" s="64">
        <v>4334</v>
      </c>
      <c r="I219" t="s">
        <v>7</v>
      </c>
      <c r="J219" t="s">
        <v>13</v>
      </c>
      <c r="K219" s="108">
        <f>DSUM(A218:E225,E218,I218:J219)</f>
        <v>7931.9</v>
      </c>
      <c r="L219">
        <f>DMAX(A218:E225,E218,I218:J219)</f>
        <v>4334</v>
      </c>
      <c r="M219">
        <f>DMIN(A218:E225,E218,I218:J219)</f>
        <v>3597.9</v>
      </c>
    </row>
    <row r="220" spans="1:13" x14ac:dyDescent="0.3">
      <c r="A220" t="s">
        <v>7</v>
      </c>
      <c r="B220" t="s">
        <v>13</v>
      </c>
      <c r="C220" s="62">
        <v>37792</v>
      </c>
      <c r="D220">
        <v>10252</v>
      </c>
      <c r="E220" s="64">
        <v>3597.9</v>
      </c>
    </row>
    <row r="221" spans="1:13" x14ac:dyDescent="0.3">
      <c r="A221" t="s">
        <v>7</v>
      </c>
      <c r="B221" t="s">
        <v>16</v>
      </c>
      <c r="C221" s="62">
        <v>37732</v>
      </c>
      <c r="D221">
        <v>10255</v>
      </c>
      <c r="E221" s="64">
        <v>2490.5</v>
      </c>
      <c r="I221" t="s">
        <v>6</v>
      </c>
      <c r="J221" t="s">
        <v>12</v>
      </c>
      <c r="K221" t="s">
        <v>12</v>
      </c>
      <c r="L221" t="s">
        <v>300</v>
      </c>
    </row>
    <row r="222" spans="1:13" x14ac:dyDescent="0.3">
      <c r="A222" t="s">
        <v>7</v>
      </c>
      <c r="B222" t="s">
        <v>16</v>
      </c>
      <c r="C222" s="62">
        <v>37692</v>
      </c>
      <c r="D222">
        <v>10248</v>
      </c>
      <c r="E222" s="64">
        <v>440</v>
      </c>
      <c r="I222" t="s">
        <v>8</v>
      </c>
      <c r="J222" t="s">
        <v>274</v>
      </c>
      <c r="K222" t="s">
        <v>298</v>
      </c>
      <c r="L222" s="30">
        <f>DAVERAGE(A218:E225,E218,I221:K222)</f>
        <v>9250</v>
      </c>
    </row>
    <row r="223" spans="1:13" x14ac:dyDescent="0.3">
      <c r="A223" t="s">
        <v>8</v>
      </c>
      <c r="B223" t="s">
        <v>14</v>
      </c>
      <c r="C223" s="62">
        <v>37772</v>
      </c>
      <c r="D223">
        <v>10250</v>
      </c>
      <c r="E223" s="64">
        <v>9000</v>
      </c>
    </row>
    <row r="224" spans="1:13" x14ac:dyDescent="0.3">
      <c r="A224" t="s">
        <v>8</v>
      </c>
      <c r="B224" t="s">
        <v>15</v>
      </c>
      <c r="C224" s="62">
        <v>37752</v>
      </c>
      <c r="D224">
        <v>10251</v>
      </c>
      <c r="E224" s="64">
        <v>9500</v>
      </c>
      <c r="G224" s="64"/>
    </row>
    <row r="225" spans="1:11" x14ac:dyDescent="0.3">
      <c r="A225" t="s">
        <v>8</v>
      </c>
      <c r="B225" t="s">
        <v>14</v>
      </c>
      <c r="C225" s="62">
        <v>37712</v>
      </c>
      <c r="D225">
        <v>10253</v>
      </c>
      <c r="E225" s="64">
        <v>100</v>
      </c>
      <c r="I225" s="1" t="s">
        <v>6</v>
      </c>
      <c r="J225" s="1" t="s">
        <v>9</v>
      </c>
      <c r="K225" t="s">
        <v>73</v>
      </c>
    </row>
    <row r="226" spans="1:11" x14ac:dyDescent="0.3">
      <c r="I226" t="s">
        <v>7</v>
      </c>
      <c r="J226" t="s">
        <v>16</v>
      </c>
      <c r="K226">
        <f>DCOUNTA(A218:E225,A218,I225:J226)</f>
        <v>2</v>
      </c>
    </row>
  </sheetData>
  <customSheetViews>
    <customSheetView guid="{A27D5E1E-B06B-4AE2-9D20-CB87A5C74206}" showGridLines="0">
      <selection activeCell="G62" sqref="G62:G67"/>
      <pageMargins left="0.7" right="0.7" top="0.75" bottom="0.75" header="0.3" footer="0.3"/>
    </customSheetView>
  </customSheetViews>
  <mergeCells count="12">
    <mergeCell ref="A1:O1"/>
    <mergeCell ref="A35:B35"/>
    <mergeCell ref="A51:P52"/>
    <mergeCell ref="A71:B71"/>
    <mergeCell ref="A87:P87"/>
    <mergeCell ref="A190:P190"/>
    <mergeCell ref="A208:B208"/>
    <mergeCell ref="A106:B106"/>
    <mergeCell ref="A122:P122"/>
    <mergeCell ref="A140:B140"/>
    <mergeCell ref="A156:P156"/>
    <mergeCell ref="A174:B17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84"/>
  <sheetViews>
    <sheetView showGridLines="0" topLeftCell="D1" zoomScale="160" zoomScaleNormal="160" workbookViewId="0">
      <selection sqref="A1:K1"/>
    </sheetView>
  </sheetViews>
  <sheetFormatPr defaultRowHeight="14.4" x14ac:dyDescent="0.3"/>
  <cols>
    <col min="1" max="1" width="10.6640625" customWidth="1"/>
    <col min="2" max="2" width="14.88671875" customWidth="1"/>
    <col min="3" max="3" width="14.6640625" customWidth="1"/>
    <col min="4" max="4" width="16.33203125" customWidth="1"/>
    <col min="5" max="5" width="13.88671875" bestFit="1" customWidth="1"/>
    <col min="6" max="6" width="11.109375" bestFit="1" customWidth="1"/>
    <col min="7" max="7" width="11.6640625" bestFit="1" customWidth="1"/>
    <col min="9" max="9" width="10.44140625" bestFit="1" customWidth="1"/>
    <col min="11" max="11" width="29.33203125" customWidth="1"/>
  </cols>
  <sheetData>
    <row r="1" spans="1:11" x14ac:dyDescent="0.3">
      <c r="A1" s="114" t="s">
        <v>109</v>
      </c>
      <c r="B1" s="114"/>
      <c r="C1" s="114"/>
      <c r="D1" s="114"/>
      <c r="E1" s="114"/>
      <c r="F1" s="114"/>
      <c r="G1" s="114"/>
      <c r="H1" s="114"/>
      <c r="I1" s="114"/>
      <c r="J1" s="114"/>
      <c r="K1" s="114"/>
    </row>
    <row r="3" spans="1:11" x14ac:dyDescent="0.3">
      <c r="A3" s="1" t="s">
        <v>110</v>
      </c>
    </row>
    <row r="5" spans="1:11" x14ac:dyDescent="0.3">
      <c r="A5" s="16" t="s">
        <v>111</v>
      </c>
    </row>
    <row r="7" spans="1:11" x14ac:dyDescent="0.3">
      <c r="A7" s="1" t="s">
        <v>4</v>
      </c>
    </row>
    <row r="8" spans="1:11" x14ac:dyDescent="0.3">
      <c r="A8" s="1"/>
    </row>
    <row r="9" spans="1:11" x14ac:dyDescent="0.3">
      <c r="A9" s="20" t="s">
        <v>112</v>
      </c>
    </row>
    <row r="10" spans="1:11" x14ac:dyDescent="0.3">
      <c r="A10" s="20"/>
    </row>
    <row r="11" spans="1:11" x14ac:dyDescent="0.3">
      <c r="A11" s="1" t="s">
        <v>5</v>
      </c>
    </row>
    <row r="13" spans="1:11" x14ac:dyDescent="0.3">
      <c r="A13" s="34" t="s">
        <v>113</v>
      </c>
    </row>
    <row r="14" spans="1:11" x14ac:dyDescent="0.3">
      <c r="A14" t="s">
        <v>114</v>
      </c>
    </row>
    <row r="16" spans="1:11" ht="15" thickBot="1" x14ac:dyDescent="0.35"/>
    <row r="17" spans="1:13" x14ac:dyDescent="0.3">
      <c r="A17" s="14" t="s">
        <v>3</v>
      </c>
      <c r="B17" s="3"/>
      <c r="C17" s="3"/>
      <c r="D17" s="3"/>
      <c r="E17" s="3"/>
      <c r="F17" s="28"/>
      <c r="G17" s="3"/>
      <c r="H17" s="3"/>
      <c r="I17" s="3"/>
      <c r="J17" s="3"/>
      <c r="K17" s="3"/>
      <c r="L17" s="3"/>
      <c r="M17" s="4"/>
    </row>
    <row r="18" spans="1:13" x14ac:dyDescent="0.3">
      <c r="A18" s="15"/>
      <c r="B18" s="6"/>
      <c r="C18" s="7"/>
      <c r="D18" s="7"/>
      <c r="E18" s="7"/>
      <c r="F18" s="24"/>
      <c r="G18" s="24"/>
      <c r="H18" s="24"/>
      <c r="I18" s="24"/>
      <c r="J18" s="24"/>
      <c r="K18" s="24"/>
      <c r="L18" s="24"/>
      <c r="M18" s="8"/>
    </row>
    <row r="19" spans="1:13" x14ac:dyDescent="0.3">
      <c r="A19" s="21"/>
      <c r="B19" s="11" t="s">
        <v>9</v>
      </c>
      <c r="C19" s="11" t="s">
        <v>10</v>
      </c>
      <c r="D19" s="11" t="s">
        <v>11</v>
      </c>
      <c r="E19" s="11" t="s">
        <v>12</v>
      </c>
      <c r="F19" s="24"/>
      <c r="G19" s="48" t="s">
        <v>115</v>
      </c>
      <c r="H19" s="24"/>
      <c r="I19" s="48" t="s">
        <v>0</v>
      </c>
      <c r="J19" s="24"/>
      <c r="K19" s="24"/>
      <c r="L19" s="24"/>
      <c r="M19" s="8"/>
    </row>
    <row r="20" spans="1:13" x14ac:dyDescent="0.3">
      <c r="A20" s="5" t="s">
        <v>7</v>
      </c>
      <c r="B20" s="7" t="s">
        <v>13</v>
      </c>
      <c r="C20" s="22">
        <v>37812</v>
      </c>
      <c r="D20" s="7">
        <v>10249</v>
      </c>
      <c r="E20" s="19">
        <v>1863.4</v>
      </c>
      <c r="F20" s="24"/>
      <c r="G20" s="24" t="s">
        <v>116</v>
      </c>
      <c r="H20" s="24"/>
      <c r="I20" s="24">
        <f>YEAR(C20)</f>
        <v>2007</v>
      </c>
      <c r="J20" s="24"/>
      <c r="K20" s="24"/>
      <c r="L20" s="24"/>
      <c r="M20" s="8"/>
    </row>
    <row r="21" spans="1:13" x14ac:dyDescent="0.3">
      <c r="A21" s="5" t="s">
        <v>8</v>
      </c>
      <c r="B21" s="7" t="s">
        <v>18</v>
      </c>
      <c r="C21" s="22">
        <v>37812</v>
      </c>
      <c r="D21" s="7">
        <v>10252</v>
      </c>
      <c r="E21" s="19">
        <v>3597.9</v>
      </c>
      <c r="F21" s="24"/>
      <c r="G21" s="24" t="s">
        <v>117</v>
      </c>
      <c r="H21" s="24"/>
      <c r="I21" s="24">
        <f t="shared" ref="I21:I22" si="0">YEAR(C21)</f>
        <v>2007</v>
      </c>
      <c r="J21" s="24"/>
      <c r="K21" s="24"/>
      <c r="L21" s="24"/>
      <c r="M21" s="8"/>
    </row>
    <row r="22" spans="1:13" ht="15" customHeight="1" x14ac:dyDescent="0.3">
      <c r="A22" s="5" t="s">
        <v>8</v>
      </c>
      <c r="B22" s="7" t="s">
        <v>14</v>
      </c>
      <c r="C22" s="22">
        <v>37312</v>
      </c>
      <c r="D22" s="7">
        <v>10250</v>
      </c>
      <c r="E22" s="19">
        <v>1552.6</v>
      </c>
      <c r="F22" s="24"/>
      <c r="G22" s="24" t="s">
        <v>118</v>
      </c>
      <c r="H22" s="24"/>
      <c r="I22" s="24">
        <f t="shared" si="0"/>
        <v>2006</v>
      </c>
      <c r="J22" s="24"/>
      <c r="K22" s="24"/>
      <c r="L22" s="24"/>
      <c r="M22" s="8"/>
    </row>
    <row r="23" spans="1:13" ht="15" thickBot="1" x14ac:dyDescent="0.35">
      <c r="A23" s="115"/>
      <c r="B23" s="116"/>
      <c r="C23" s="9"/>
      <c r="D23" s="9"/>
      <c r="E23" s="18"/>
      <c r="F23" s="9"/>
      <c r="G23" s="9"/>
      <c r="H23" s="9"/>
      <c r="I23" s="9"/>
      <c r="J23" s="9"/>
      <c r="K23" s="9"/>
      <c r="L23" s="9"/>
      <c r="M23" s="10"/>
    </row>
    <row r="26" spans="1:13" x14ac:dyDescent="0.3">
      <c r="A26" s="1" t="s">
        <v>119</v>
      </c>
    </row>
    <row r="28" spans="1:13" x14ac:dyDescent="0.3">
      <c r="A28" s="16" t="s">
        <v>130</v>
      </c>
    </row>
    <row r="30" spans="1:13" x14ac:dyDescent="0.3">
      <c r="A30" s="1" t="s">
        <v>4</v>
      </c>
    </row>
    <row r="31" spans="1:13" x14ac:dyDescent="0.3">
      <c r="A31" s="1"/>
    </row>
    <row r="32" spans="1:13" x14ac:dyDescent="0.3">
      <c r="A32" s="20" t="s">
        <v>120</v>
      </c>
    </row>
    <row r="33" spans="1:13" x14ac:dyDescent="0.3">
      <c r="A33" s="20"/>
    </row>
    <row r="34" spans="1:13" x14ac:dyDescent="0.3">
      <c r="A34" s="1" t="s">
        <v>5</v>
      </c>
    </row>
    <row r="36" spans="1:13" x14ac:dyDescent="0.3">
      <c r="A36" s="34" t="s">
        <v>113</v>
      </c>
    </row>
    <row r="37" spans="1:13" x14ac:dyDescent="0.3">
      <c r="A37" t="s">
        <v>121</v>
      </c>
    </row>
    <row r="38" spans="1:13" ht="15" thickBot="1" x14ac:dyDescent="0.35"/>
    <row r="39" spans="1:13" x14ac:dyDescent="0.3">
      <c r="A39" s="14" t="s">
        <v>3</v>
      </c>
      <c r="B39" s="3"/>
      <c r="C39" s="3"/>
      <c r="D39" s="3"/>
      <c r="E39" s="3"/>
      <c r="F39" s="28"/>
      <c r="G39" s="3"/>
      <c r="H39" s="3"/>
      <c r="I39" s="3"/>
      <c r="J39" s="3"/>
      <c r="K39" s="3"/>
      <c r="L39" s="3"/>
      <c r="M39" s="4"/>
    </row>
    <row r="40" spans="1:13" x14ac:dyDescent="0.3">
      <c r="A40" s="15"/>
      <c r="B40" s="6"/>
      <c r="C40" s="7"/>
      <c r="D40" s="7"/>
      <c r="E40" s="7"/>
      <c r="F40" s="24"/>
      <c r="G40" s="24"/>
      <c r="H40" s="24"/>
      <c r="I40" s="24"/>
      <c r="J40" s="24"/>
      <c r="K40" s="24"/>
      <c r="L40" s="24"/>
      <c r="M40" s="8"/>
    </row>
    <row r="41" spans="1:13" x14ac:dyDescent="0.3">
      <c r="A41" s="21"/>
      <c r="B41" s="11" t="s">
        <v>9</v>
      </c>
      <c r="C41" s="11" t="s">
        <v>10</v>
      </c>
      <c r="D41" s="11" t="s">
        <v>11</v>
      </c>
      <c r="E41" s="11" t="s">
        <v>12</v>
      </c>
      <c r="F41" s="24"/>
      <c r="G41" s="48" t="s">
        <v>115</v>
      </c>
      <c r="H41" s="24"/>
      <c r="I41" s="48" t="s">
        <v>0</v>
      </c>
      <c r="J41" s="24"/>
      <c r="K41" s="24"/>
      <c r="L41" s="24"/>
      <c r="M41" s="8"/>
    </row>
    <row r="42" spans="1:13" x14ac:dyDescent="0.3">
      <c r="A42" s="5" t="s">
        <v>7</v>
      </c>
      <c r="B42" s="7" t="s">
        <v>13</v>
      </c>
      <c r="C42" s="22">
        <v>37812</v>
      </c>
      <c r="D42" s="7">
        <v>10249</v>
      </c>
      <c r="E42" s="19">
        <v>1863.4</v>
      </c>
      <c r="F42" s="24"/>
      <c r="G42" s="24" t="s">
        <v>122</v>
      </c>
      <c r="H42" s="24"/>
      <c r="I42" s="24">
        <f>MONTH(C42)</f>
        <v>7</v>
      </c>
      <c r="J42" s="24"/>
      <c r="K42" s="24"/>
      <c r="L42" s="24"/>
      <c r="M42" s="8"/>
    </row>
    <row r="43" spans="1:13" x14ac:dyDescent="0.3">
      <c r="A43" s="5" t="s">
        <v>8</v>
      </c>
      <c r="B43" s="7" t="s">
        <v>18</v>
      </c>
      <c r="C43" s="22">
        <v>37812</v>
      </c>
      <c r="D43" s="7">
        <v>10252</v>
      </c>
      <c r="E43" s="19">
        <v>3597.9</v>
      </c>
      <c r="F43" s="24"/>
      <c r="G43" s="24" t="s">
        <v>123</v>
      </c>
      <c r="H43" s="24"/>
      <c r="I43" s="24">
        <f>MONTH(C43)</f>
        <v>7</v>
      </c>
      <c r="J43" s="24"/>
      <c r="K43" s="24"/>
      <c r="L43" s="24"/>
      <c r="M43" s="8"/>
    </row>
    <row r="44" spans="1:13" x14ac:dyDescent="0.3">
      <c r="A44" s="5" t="s">
        <v>8</v>
      </c>
      <c r="B44" s="7" t="s">
        <v>14</v>
      </c>
      <c r="C44" s="22">
        <v>37312</v>
      </c>
      <c r="D44" s="7">
        <v>10250</v>
      </c>
      <c r="E44" s="19">
        <v>1552.6</v>
      </c>
      <c r="F44" s="24"/>
      <c r="G44" s="24" t="s">
        <v>124</v>
      </c>
      <c r="H44" s="24"/>
      <c r="I44" s="24">
        <f>MONTH(C44)</f>
        <v>2</v>
      </c>
      <c r="J44" s="24"/>
      <c r="K44" s="24"/>
      <c r="L44" s="24"/>
      <c r="M44" s="8"/>
    </row>
    <row r="45" spans="1:13" ht="15" thickBot="1" x14ac:dyDescent="0.35">
      <c r="A45" s="115"/>
      <c r="B45" s="116"/>
      <c r="C45" s="9"/>
      <c r="D45" s="9"/>
      <c r="E45" s="18"/>
      <c r="F45" s="9"/>
      <c r="G45" s="9"/>
      <c r="H45" s="9"/>
      <c r="I45" s="9"/>
      <c r="J45" s="9"/>
      <c r="K45" s="9"/>
      <c r="L45" s="9"/>
      <c r="M45" s="10"/>
    </row>
    <row r="48" spans="1:13" x14ac:dyDescent="0.3">
      <c r="A48" s="1" t="s">
        <v>125</v>
      </c>
    </row>
    <row r="50" spans="1:13" x14ac:dyDescent="0.3">
      <c r="A50" s="16" t="s">
        <v>131</v>
      </c>
    </row>
    <row r="52" spans="1:13" x14ac:dyDescent="0.3">
      <c r="A52" s="1" t="s">
        <v>4</v>
      </c>
    </row>
    <row r="53" spans="1:13" x14ac:dyDescent="0.3">
      <c r="A53" s="1"/>
    </row>
    <row r="54" spans="1:13" x14ac:dyDescent="0.3">
      <c r="A54" s="20" t="s">
        <v>126</v>
      </c>
    </row>
    <row r="55" spans="1:13" x14ac:dyDescent="0.3">
      <c r="A55" s="20"/>
    </row>
    <row r="56" spans="1:13" x14ac:dyDescent="0.3">
      <c r="A56" s="1" t="s">
        <v>5</v>
      </c>
    </row>
    <row r="58" spans="1:13" x14ac:dyDescent="0.3">
      <c r="A58" s="34" t="s">
        <v>113</v>
      </c>
    </row>
    <row r="59" spans="1:13" x14ac:dyDescent="0.3">
      <c r="A59" t="s">
        <v>132</v>
      </c>
    </row>
    <row r="60" spans="1:13" ht="15" thickBot="1" x14ac:dyDescent="0.35"/>
    <row r="61" spans="1:13" x14ac:dyDescent="0.3">
      <c r="A61" s="14" t="s">
        <v>3</v>
      </c>
      <c r="B61" s="3"/>
      <c r="C61" s="3"/>
      <c r="D61" s="3"/>
      <c r="E61" s="3"/>
      <c r="F61" s="28"/>
      <c r="G61" s="3"/>
      <c r="H61" s="3"/>
      <c r="I61" s="3"/>
      <c r="J61" s="3"/>
      <c r="K61" s="3"/>
      <c r="L61" s="3"/>
      <c r="M61" s="4"/>
    </row>
    <row r="62" spans="1:13" x14ac:dyDescent="0.3">
      <c r="A62" s="15"/>
      <c r="B62" s="6"/>
      <c r="C62" s="7"/>
      <c r="D62" s="7"/>
      <c r="E62" s="7"/>
      <c r="F62" s="24"/>
      <c r="G62" s="24"/>
      <c r="H62" s="24"/>
      <c r="I62" s="24"/>
      <c r="J62" s="24"/>
      <c r="K62" s="24"/>
      <c r="L62" s="24"/>
      <c r="M62" s="8"/>
    </row>
    <row r="63" spans="1:13" x14ac:dyDescent="0.3">
      <c r="A63" s="21"/>
      <c r="B63" s="11" t="s">
        <v>9</v>
      </c>
      <c r="C63" s="11" t="s">
        <v>10</v>
      </c>
      <c r="D63" s="11" t="s">
        <v>11</v>
      </c>
      <c r="E63" s="11" t="s">
        <v>12</v>
      </c>
      <c r="F63" s="24"/>
      <c r="G63" s="48" t="s">
        <v>115</v>
      </c>
      <c r="H63" s="24"/>
      <c r="I63" s="48" t="s">
        <v>0</v>
      </c>
      <c r="J63" s="24"/>
      <c r="K63" s="24"/>
      <c r="L63" s="24"/>
      <c r="M63" s="8"/>
    </row>
    <row r="64" spans="1:13" x14ac:dyDescent="0.3">
      <c r="A64" s="5" t="s">
        <v>7</v>
      </c>
      <c r="B64" s="7" t="s">
        <v>13</v>
      </c>
      <c r="C64" s="22">
        <v>37812</v>
      </c>
      <c r="D64" s="7">
        <v>10249</v>
      </c>
      <c r="E64" s="19">
        <v>1863.4</v>
      </c>
      <c r="F64" s="24"/>
      <c r="G64" s="24" t="s">
        <v>127</v>
      </c>
      <c r="H64" s="24"/>
      <c r="I64" s="24">
        <f>DAY(C64)</f>
        <v>11</v>
      </c>
      <c r="J64" s="24"/>
      <c r="K64" s="24"/>
      <c r="L64" s="24"/>
      <c r="M64" s="8"/>
    </row>
    <row r="65" spans="1:13" x14ac:dyDescent="0.3">
      <c r="A65" s="5" t="s">
        <v>8</v>
      </c>
      <c r="B65" s="7" t="s">
        <v>18</v>
      </c>
      <c r="C65" s="22">
        <v>37812</v>
      </c>
      <c r="D65" s="7">
        <v>10252</v>
      </c>
      <c r="E65" s="19">
        <v>3597.9</v>
      </c>
      <c r="F65" s="24"/>
      <c r="G65" s="24" t="s">
        <v>128</v>
      </c>
      <c r="H65" s="24"/>
      <c r="I65" s="24">
        <f>DAY(C65)</f>
        <v>11</v>
      </c>
      <c r="J65" s="24"/>
      <c r="K65" s="24"/>
      <c r="L65" s="24"/>
      <c r="M65" s="8"/>
    </row>
    <row r="66" spans="1:13" x14ac:dyDescent="0.3">
      <c r="A66" s="5" t="s">
        <v>8</v>
      </c>
      <c r="B66" s="7" t="s">
        <v>14</v>
      </c>
      <c r="C66" s="22">
        <v>37312</v>
      </c>
      <c r="D66" s="7">
        <v>10250</v>
      </c>
      <c r="E66" s="19">
        <v>1552.6</v>
      </c>
      <c r="F66" s="24"/>
      <c r="G66" s="24" t="s">
        <v>129</v>
      </c>
      <c r="H66" s="24"/>
      <c r="I66" s="24">
        <f>DAY(C66)</f>
        <v>26</v>
      </c>
      <c r="J66" s="24"/>
      <c r="K66" s="24"/>
      <c r="L66" s="24"/>
      <c r="M66" s="8"/>
    </row>
    <row r="67" spans="1:13" ht="15" thickBot="1" x14ac:dyDescent="0.35">
      <c r="A67" s="115"/>
      <c r="B67" s="116"/>
      <c r="C67" s="9"/>
      <c r="D67" s="9"/>
      <c r="E67" s="18"/>
      <c r="F67" s="9"/>
      <c r="G67" s="9"/>
      <c r="H67" s="9"/>
      <c r="I67" s="9"/>
      <c r="J67" s="9"/>
      <c r="K67" s="9"/>
      <c r="L67" s="9"/>
      <c r="M67" s="10"/>
    </row>
    <row r="68" spans="1:13" x14ac:dyDescent="0.3">
      <c r="C68" t="s">
        <v>110</v>
      </c>
      <c r="D68" t="s">
        <v>119</v>
      </c>
      <c r="E68" t="s">
        <v>125</v>
      </c>
      <c r="F68" t="s">
        <v>159</v>
      </c>
      <c r="H68" t="s">
        <v>428</v>
      </c>
    </row>
    <row r="69" spans="1:13" x14ac:dyDescent="0.3">
      <c r="A69" s="65">
        <v>42478</v>
      </c>
      <c r="C69">
        <f>YEAR(A69)</f>
        <v>2020</v>
      </c>
      <c r="D69">
        <f>MONTH(A69)</f>
        <v>4</v>
      </c>
      <c r="E69">
        <f>DAY(A69)</f>
        <v>19</v>
      </c>
      <c r="F69" s="110">
        <f>DATE(C69,D69,E69)</f>
        <v>42478</v>
      </c>
      <c r="H69" t="s">
        <v>427</v>
      </c>
      <c r="I69" s="62"/>
    </row>
    <row r="70" spans="1:13" x14ac:dyDescent="0.3">
      <c r="A70" t="b">
        <f>ISNUMBER(A69)</f>
        <v>1</v>
      </c>
    </row>
    <row r="72" spans="1:13" x14ac:dyDescent="0.3">
      <c r="A72" s="62" t="s">
        <v>275</v>
      </c>
      <c r="C72" t="str">
        <f>RIGHT(A72,4)</f>
        <v>2001</v>
      </c>
      <c r="D72" t="str">
        <f>MID(A72,4,2)</f>
        <v>02</v>
      </c>
      <c r="E72" t="str">
        <f>LEFT(A72,2)</f>
        <v>01</v>
      </c>
      <c r="F72" s="110">
        <f>DATE(C72,D72,E72)</f>
        <v>35461</v>
      </c>
      <c r="I72" s="62"/>
    </row>
    <row r="73" spans="1:13" x14ac:dyDescent="0.3">
      <c r="A73" t="b">
        <f>ISNUMBER(A72)</f>
        <v>0</v>
      </c>
    </row>
    <row r="74" spans="1:13" x14ac:dyDescent="0.3">
      <c r="A74" t="s">
        <v>10</v>
      </c>
      <c r="C74" t="s">
        <v>402</v>
      </c>
      <c r="D74" s="95" t="s">
        <v>403</v>
      </c>
      <c r="E74" t="s">
        <v>404</v>
      </c>
      <c r="F74" s="62" t="s">
        <v>405</v>
      </c>
    </row>
    <row r="75" spans="1:13" x14ac:dyDescent="0.3">
      <c r="A75" s="62">
        <v>37812</v>
      </c>
      <c r="C75" s="62">
        <f>DATE(YEAR(A75),MONTH(A75)-1,DAY(A75))</f>
        <v>37782</v>
      </c>
      <c r="D75" s="62">
        <f>DATE(YEAR(A75)-1,MONTH(A75),DAY(A75))</f>
        <v>37447</v>
      </c>
      <c r="E75" s="62">
        <f>EDATE(A75,-1)</f>
        <v>37782</v>
      </c>
      <c r="F75" s="62">
        <f>EDATE(A75,-12)</f>
        <v>37447</v>
      </c>
      <c r="G75" s="62">
        <f>EDATE(A75,1)</f>
        <v>37843</v>
      </c>
    </row>
    <row r="76" spans="1:13" x14ac:dyDescent="0.3">
      <c r="A76" s="62">
        <v>37447</v>
      </c>
      <c r="B76" s="65"/>
      <c r="C76" s="62">
        <f t="shared" ref="C76:C77" si="1">DATE(YEAR(A76),MONTH(A76)-1,DAY(A76))</f>
        <v>37417</v>
      </c>
      <c r="D76" s="62">
        <f t="shared" ref="D76:D77" si="2">DATE(YEAR(A76)-1,MONTH(A76),DAY(A76))</f>
        <v>37082</v>
      </c>
      <c r="E76" s="62">
        <f t="shared" ref="E76:E77" si="3">EDATE(A76,-1)</f>
        <v>37417</v>
      </c>
      <c r="F76" s="62">
        <f t="shared" ref="F76:F77" si="4">EDATE(A76,-12)</f>
        <v>37082</v>
      </c>
    </row>
    <row r="77" spans="1:13" x14ac:dyDescent="0.3">
      <c r="A77" s="62">
        <v>37312</v>
      </c>
      <c r="C77" s="62">
        <f t="shared" si="1"/>
        <v>37281</v>
      </c>
      <c r="D77" s="62">
        <f t="shared" si="2"/>
        <v>36947</v>
      </c>
      <c r="E77" s="62">
        <f t="shared" si="3"/>
        <v>37281</v>
      </c>
      <c r="F77" s="62">
        <f t="shared" si="4"/>
        <v>36947</v>
      </c>
    </row>
    <row r="78" spans="1:13" x14ac:dyDescent="0.3">
      <c r="B78" s="62"/>
    </row>
    <row r="82" spans="1:6" x14ac:dyDescent="0.3">
      <c r="A82" t="s">
        <v>302</v>
      </c>
      <c r="C82" s="65" t="str">
        <f>LEFT(A82,2)</f>
        <v>02</v>
      </c>
      <c r="D82" t="str">
        <f>MID(A82,4,2)</f>
        <v>05</v>
      </c>
      <c r="E82" t="str">
        <f>RIGHT(A82,4)</f>
        <v>2007</v>
      </c>
      <c r="F82" s="62">
        <f>DATE(E82,D82,C82)</f>
        <v>37742</v>
      </c>
    </row>
    <row r="83" spans="1:6" x14ac:dyDescent="0.3">
      <c r="A83" t="s">
        <v>304</v>
      </c>
    </row>
    <row r="84" spans="1:6" x14ac:dyDescent="0.3">
      <c r="A84" t="s">
        <v>303</v>
      </c>
    </row>
  </sheetData>
  <dataConsolidate/>
  <customSheetViews>
    <customSheetView guid="{A27D5E1E-B06B-4AE2-9D20-CB87A5C74206}" showGridLines="0">
      <selection activeCell="G110" sqref="G110"/>
      <pageMargins left="0.7" right="0.7" top="0.75" bottom="0.75" header="0.3" footer="0.3"/>
      <pageSetup orientation="portrait" r:id="rId1"/>
    </customSheetView>
  </customSheetViews>
  <mergeCells count="4">
    <mergeCell ref="A67:B67"/>
    <mergeCell ref="A23:B23"/>
    <mergeCell ref="A1:K1"/>
    <mergeCell ref="A45:B45"/>
  </mergeCell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M98"/>
  <sheetViews>
    <sheetView showGridLines="0" topLeftCell="A3" zoomScale="160" zoomScaleNormal="160" workbookViewId="0">
      <selection sqref="A1:M1"/>
    </sheetView>
  </sheetViews>
  <sheetFormatPr defaultRowHeight="14.4" x14ac:dyDescent="0.3"/>
  <cols>
    <col min="1" max="1" width="16.44140625" bestFit="1" customWidth="1"/>
    <col min="2" max="2" width="13.44140625" bestFit="1" customWidth="1"/>
    <col min="3" max="3" width="18.33203125" bestFit="1" customWidth="1"/>
    <col min="7" max="7" width="11.109375" bestFit="1" customWidth="1"/>
  </cols>
  <sheetData>
    <row r="1" spans="1:13" x14ac:dyDescent="0.3">
      <c r="A1" s="114" t="s">
        <v>133</v>
      </c>
      <c r="B1" s="114"/>
      <c r="C1" s="114"/>
      <c r="D1" s="114"/>
      <c r="E1" s="114"/>
      <c r="F1" s="114"/>
      <c r="G1" s="114"/>
      <c r="H1" s="114"/>
      <c r="I1" s="114"/>
      <c r="J1" s="114"/>
      <c r="K1" s="114"/>
      <c r="L1" s="114"/>
      <c r="M1" s="114"/>
    </row>
    <row r="3" spans="1:13" x14ac:dyDescent="0.3">
      <c r="A3" s="1" t="s">
        <v>134</v>
      </c>
    </row>
    <row r="5" spans="1:13" x14ac:dyDescent="0.3">
      <c r="A5" s="16" t="s">
        <v>135</v>
      </c>
    </row>
    <row r="7" spans="1:13" x14ac:dyDescent="0.3">
      <c r="A7" s="1" t="s">
        <v>4</v>
      </c>
    </row>
    <row r="8" spans="1:13" x14ac:dyDescent="0.3">
      <c r="A8" s="1"/>
    </row>
    <row r="9" spans="1:13" x14ac:dyDescent="0.3">
      <c r="A9" s="20" t="s">
        <v>136</v>
      </c>
    </row>
    <row r="10" spans="1:13" x14ac:dyDescent="0.3">
      <c r="A10" s="20"/>
    </row>
    <row r="11" spans="1:13" x14ac:dyDescent="0.3">
      <c r="A11" s="1" t="s">
        <v>5</v>
      </c>
    </row>
    <row r="13" spans="1:13" x14ac:dyDescent="0.3">
      <c r="A13" s="34" t="s">
        <v>137</v>
      </c>
    </row>
    <row r="14" spans="1:13" x14ac:dyDescent="0.3">
      <c r="A14" t="s">
        <v>138</v>
      </c>
    </row>
    <row r="15" spans="1:13" x14ac:dyDescent="0.3">
      <c r="A15" s="1"/>
    </row>
    <row r="16" spans="1:13" ht="15" thickBot="1" x14ac:dyDescent="0.35"/>
    <row r="17" spans="1:13" x14ac:dyDescent="0.3">
      <c r="A17" s="14" t="s">
        <v>3</v>
      </c>
      <c r="B17" s="3"/>
      <c r="C17" s="3"/>
      <c r="D17" s="3"/>
      <c r="E17" s="3"/>
      <c r="F17" s="28"/>
      <c r="G17" s="3"/>
      <c r="H17" s="3"/>
      <c r="I17" s="3"/>
      <c r="J17" s="3"/>
      <c r="K17" s="3"/>
      <c r="L17" s="3"/>
      <c r="M17" s="4"/>
    </row>
    <row r="18" spans="1:13" x14ac:dyDescent="0.3">
      <c r="A18" s="15"/>
      <c r="B18" s="6"/>
      <c r="C18" s="7"/>
      <c r="D18" s="7"/>
      <c r="E18" s="7"/>
      <c r="F18" s="7"/>
      <c r="G18" s="7"/>
      <c r="H18" s="7"/>
      <c r="I18" s="7"/>
      <c r="J18" s="7"/>
      <c r="K18" s="7"/>
      <c r="L18" s="7"/>
      <c r="M18" s="8"/>
    </row>
    <row r="19" spans="1:13" x14ac:dyDescent="0.3">
      <c r="A19" s="21"/>
      <c r="B19" s="11" t="s">
        <v>9</v>
      </c>
      <c r="C19" s="11" t="s">
        <v>10</v>
      </c>
      <c r="D19" s="11" t="s">
        <v>11</v>
      </c>
      <c r="E19" s="11" t="s">
        <v>12</v>
      </c>
      <c r="F19" s="7"/>
      <c r="G19" s="7"/>
      <c r="H19" s="11" t="s">
        <v>2</v>
      </c>
      <c r="I19" s="11"/>
      <c r="J19" s="11" t="s">
        <v>0</v>
      </c>
      <c r="K19" s="7"/>
      <c r="L19" s="7"/>
      <c r="M19" s="8"/>
    </row>
    <row r="20" spans="1:13" x14ac:dyDescent="0.3">
      <c r="A20" s="5" t="s">
        <v>7</v>
      </c>
      <c r="B20" s="7" t="s">
        <v>13</v>
      </c>
      <c r="C20" s="49">
        <v>40913.8775306713</v>
      </c>
      <c r="D20" s="7">
        <v>10249</v>
      </c>
      <c r="E20" s="19">
        <v>1863.4</v>
      </c>
      <c r="F20" s="7"/>
      <c r="G20" s="7"/>
      <c r="H20" s="46" t="s">
        <v>139</v>
      </c>
      <c r="I20" s="7"/>
      <c r="J20" s="46">
        <f>HOUR(C20)</f>
        <v>21</v>
      </c>
      <c r="K20" s="7"/>
      <c r="L20" s="7"/>
      <c r="M20" s="8"/>
    </row>
    <row r="21" spans="1:13" x14ac:dyDescent="0.3">
      <c r="A21" s="5" t="s">
        <v>8</v>
      </c>
      <c r="B21" s="7" t="s">
        <v>18</v>
      </c>
      <c r="C21" s="49">
        <v>40813.41920138889</v>
      </c>
      <c r="D21" s="7">
        <v>10252</v>
      </c>
      <c r="E21" s="19">
        <v>3597.9</v>
      </c>
      <c r="F21" s="7"/>
      <c r="G21" s="7"/>
      <c r="H21" s="46" t="s">
        <v>140</v>
      </c>
      <c r="I21" s="7"/>
      <c r="J21" s="46">
        <f t="shared" ref="J21:J23" si="0">HOUR(C21)</f>
        <v>10</v>
      </c>
      <c r="K21" s="7"/>
      <c r="L21" s="7"/>
      <c r="M21" s="8"/>
    </row>
    <row r="22" spans="1:13" ht="15" customHeight="1" x14ac:dyDescent="0.3">
      <c r="A22" s="5" t="s">
        <v>8</v>
      </c>
      <c r="B22" s="7" t="s">
        <v>14</v>
      </c>
      <c r="C22" s="49">
        <v>37312.507337962961</v>
      </c>
      <c r="D22" s="7">
        <v>10250</v>
      </c>
      <c r="E22" s="19">
        <v>1552.6</v>
      </c>
      <c r="F22" s="7"/>
      <c r="G22" s="7"/>
      <c r="H22" s="46" t="s">
        <v>141</v>
      </c>
      <c r="I22" s="7"/>
      <c r="J22" s="46">
        <f t="shared" si="0"/>
        <v>12</v>
      </c>
      <c r="K22" s="7"/>
      <c r="L22" s="7"/>
      <c r="M22" s="8"/>
    </row>
    <row r="23" spans="1:13" x14ac:dyDescent="0.3">
      <c r="A23" s="5" t="s">
        <v>8</v>
      </c>
      <c r="B23" s="7" t="s">
        <v>15</v>
      </c>
      <c r="C23" s="49">
        <v>37062.342187499999</v>
      </c>
      <c r="D23" s="7">
        <v>10251</v>
      </c>
      <c r="E23" s="19">
        <v>654.05999999999995</v>
      </c>
      <c r="F23" s="7"/>
      <c r="G23" s="7"/>
      <c r="H23" s="46" t="s">
        <v>142</v>
      </c>
      <c r="I23" s="7"/>
      <c r="J23" s="46">
        <f t="shared" si="0"/>
        <v>8</v>
      </c>
      <c r="K23" s="7"/>
      <c r="L23" s="7"/>
      <c r="M23" s="8"/>
    </row>
    <row r="24" spans="1:13" ht="15" thickBot="1" x14ac:dyDescent="0.35">
      <c r="A24" s="115"/>
      <c r="B24" s="116"/>
      <c r="C24" s="9"/>
      <c r="D24" s="9"/>
      <c r="E24" s="18"/>
      <c r="F24" s="9"/>
      <c r="G24" s="9"/>
      <c r="H24" s="9"/>
      <c r="I24" s="9"/>
      <c r="J24" s="9"/>
      <c r="K24" s="9"/>
      <c r="L24" s="9"/>
      <c r="M24" s="10"/>
    </row>
    <row r="27" spans="1:13" x14ac:dyDescent="0.3">
      <c r="A27" s="1" t="s">
        <v>143</v>
      </c>
    </row>
    <row r="29" spans="1:13" x14ac:dyDescent="0.3">
      <c r="A29" s="16" t="s">
        <v>149</v>
      </c>
    </row>
    <row r="31" spans="1:13" x14ac:dyDescent="0.3">
      <c r="A31" s="1" t="s">
        <v>4</v>
      </c>
    </row>
    <row r="32" spans="1:13" x14ac:dyDescent="0.3">
      <c r="A32" s="1"/>
    </row>
    <row r="33" spans="1:13" x14ac:dyDescent="0.3">
      <c r="A33" s="20" t="s">
        <v>144</v>
      </c>
    </row>
    <row r="34" spans="1:13" x14ac:dyDescent="0.3">
      <c r="A34" s="20"/>
    </row>
    <row r="35" spans="1:13" x14ac:dyDescent="0.3">
      <c r="A35" s="1" t="s">
        <v>5</v>
      </c>
    </row>
    <row r="37" spans="1:13" x14ac:dyDescent="0.3">
      <c r="A37" s="34" t="s">
        <v>137</v>
      </c>
    </row>
    <row r="38" spans="1:13" x14ac:dyDescent="0.3">
      <c r="A38" t="s">
        <v>150</v>
      </c>
    </row>
    <row r="39" spans="1:13" x14ac:dyDescent="0.3">
      <c r="A39" s="1"/>
    </row>
    <row r="40" spans="1:13" ht="15" thickBot="1" x14ac:dyDescent="0.35"/>
    <row r="41" spans="1:13" x14ac:dyDescent="0.3">
      <c r="A41" s="14" t="s">
        <v>3</v>
      </c>
      <c r="B41" s="3"/>
      <c r="C41" s="3"/>
      <c r="D41" s="3"/>
      <c r="E41" s="3"/>
      <c r="F41" s="28"/>
      <c r="G41" s="3"/>
      <c r="H41" s="3"/>
      <c r="I41" s="3"/>
      <c r="J41" s="3"/>
      <c r="K41" s="3"/>
      <c r="L41" s="3"/>
      <c r="M41" s="4"/>
    </row>
    <row r="42" spans="1:13" x14ac:dyDescent="0.3">
      <c r="A42" s="15"/>
      <c r="B42" s="6"/>
      <c r="C42" s="7"/>
      <c r="D42" s="7"/>
      <c r="E42" s="7"/>
      <c r="F42" s="7"/>
      <c r="G42" s="7"/>
      <c r="H42" s="7"/>
      <c r="I42" s="7"/>
      <c r="J42" s="7"/>
      <c r="K42" s="7"/>
      <c r="L42" s="7"/>
      <c r="M42" s="8"/>
    </row>
    <row r="43" spans="1:13" x14ac:dyDescent="0.3">
      <c r="A43" s="21"/>
      <c r="B43" s="11" t="s">
        <v>9</v>
      </c>
      <c r="C43" s="11" t="s">
        <v>10</v>
      </c>
      <c r="D43" s="11" t="s">
        <v>11</v>
      </c>
      <c r="E43" s="11" t="s">
        <v>12</v>
      </c>
      <c r="F43" s="7"/>
      <c r="G43" s="7"/>
      <c r="H43" s="11" t="s">
        <v>2</v>
      </c>
      <c r="I43" s="11"/>
      <c r="J43" s="11" t="s">
        <v>0</v>
      </c>
      <c r="K43" s="7"/>
      <c r="L43" s="7"/>
      <c r="M43" s="8"/>
    </row>
    <row r="44" spans="1:13" x14ac:dyDescent="0.3">
      <c r="A44" s="5" t="s">
        <v>7</v>
      </c>
      <c r="B44" s="7" t="s">
        <v>13</v>
      </c>
      <c r="C44" s="49">
        <v>40913.8775306713</v>
      </c>
      <c r="D44" s="7">
        <v>10249</v>
      </c>
      <c r="E44" s="19">
        <v>1863.4</v>
      </c>
      <c r="F44" s="7"/>
      <c r="G44" s="7"/>
      <c r="H44" s="46" t="s">
        <v>145</v>
      </c>
      <c r="I44" s="7"/>
      <c r="J44" s="46">
        <f>MINUTE(C44)</f>
        <v>3</v>
      </c>
      <c r="K44" s="7"/>
      <c r="L44" s="7"/>
      <c r="M44" s="8"/>
    </row>
    <row r="45" spans="1:13" x14ac:dyDescent="0.3">
      <c r="A45" s="5" t="s">
        <v>8</v>
      </c>
      <c r="B45" s="7" t="s">
        <v>18</v>
      </c>
      <c r="C45" s="49">
        <v>40813.41920138889</v>
      </c>
      <c r="D45" s="7">
        <v>10252</v>
      </c>
      <c r="E45" s="19">
        <v>3597.9</v>
      </c>
      <c r="F45" s="7"/>
      <c r="G45" s="7"/>
      <c r="H45" s="46" t="s">
        <v>146</v>
      </c>
      <c r="I45" s="7"/>
      <c r="J45" s="46">
        <f>MINUTE(C45)</f>
        <v>3</v>
      </c>
      <c r="K45" s="7"/>
      <c r="L45" s="7"/>
      <c r="M45" s="8"/>
    </row>
    <row r="46" spans="1:13" x14ac:dyDescent="0.3">
      <c r="A46" s="5" t="s">
        <v>8</v>
      </c>
      <c r="B46" s="7" t="s">
        <v>14</v>
      </c>
      <c r="C46" s="49">
        <v>37312.507337962961</v>
      </c>
      <c r="D46" s="7">
        <v>10250</v>
      </c>
      <c r="E46" s="19">
        <v>1552.6</v>
      </c>
      <c r="F46" s="7"/>
      <c r="G46" s="7"/>
      <c r="H46" s="46" t="s">
        <v>147</v>
      </c>
      <c r="I46" s="7"/>
      <c r="J46" s="46">
        <f>MINUTE(C46)</f>
        <v>10</v>
      </c>
      <c r="K46" s="7"/>
      <c r="L46" s="7"/>
      <c r="M46" s="8"/>
    </row>
    <row r="47" spans="1:13" x14ac:dyDescent="0.3">
      <c r="A47" s="5" t="s">
        <v>8</v>
      </c>
      <c r="B47" s="7" t="s">
        <v>15</v>
      </c>
      <c r="C47" s="49">
        <v>37062.342187499999</v>
      </c>
      <c r="D47" s="7">
        <v>10251</v>
      </c>
      <c r="E47" s="19">
        <v>654.05999999999995</v>
      </c>
      <c r="F47" s="7"/>
      <c r="G47" s="7"/>
      <c r="H47" s="46" t="s">
        <v>148</v>
      </c>
      <c r="I47" s="7"/>
      <c r="J47" s="46">
        <f>MINUTE(C47)</f>
        <v>12</v>
      </c>
      <c r="K47" s="7"/>
      <c r="L47" s="7"/>
      <c r="M47" s="8"/>
    </row>
    <row r="48" spans="1:13" ht="15" thickBot="1" x14ac:dyDescent="0.35">
      <c r="A48" s="115"/>
      <c r="B48" s="116"/>
      <c r="C48" s="9"/>
      <c r="D48" s="9"/>
      <c r="E48" s="18"/>
      <c r="F48" s="9"/>
      <c r="G48" s="9"/>
      <c r="H48" s="9"/>
      <c r="I48" s="9"/>
      <c r="J48" s="9"/>
      <c r="K48" s="9"/>
      <c r="L48" s="9"/>
      <c r="M48" s="10"/>
    </row>
    <row r="51" spans="1:1" x14ac:dyDescent="0.3">
      <c r="A51" s="1" t="s">
        <v>151</v>
      </c>
    </row>
    <row r="53" spans="1:1" x14ac:dyDescent="0.3">
      <c r="A53" s="16" t="s">
        <v>157</v>
      </c>
    </row>
    <row r="55" spans="1:1" x14ac:dyDescent="0.3">
      <c r="A55" s="1" t="s">
        <v>4</v>
      </c>
    </row>
    <row r="56" spans="1:1" x14ac:dyDescent="0.3">
      <c r="A56" s="1"/>
    </row>
    <row r="57" spans="1:1" x14ac:dyDescent="0.3">
      <c r="A57" s="20" t="s">
        <v>152</v>
      </c>
    </row>
    <row r="58" spans="1:1" x14ac:dyDescent="0.3">
      <c r="A58" s="20"/>
    </row>
    <row r="59" spans="1:1" x14ac:dyDescent="0.3">
      <c r="A59" s="1" t="s">
        <v>5</v>
      </c>
    </row>
    <row r="61" spans="1:1" x14ac:dyDescent="0.3">
      <c r="A61" s="34" t="s">
        <v>137</v>
      </c>
    </row>
    <row r="62" spans="1:1" x14ac:dyDescent="0.3">
      <c r="A62" t="s">
        <v>158</v>
      </c>
    </row>
    <row r="63" spans="1:1" x14ac:dyDescent="0.3">
      <c r="A63" s="1"/>
    </row>
    <row r="64" spans="1:1" ht="15" thickBot="1" x14ac:dyDescent="0.35"/>
    <row r="65" spans="1:13" x14ac:dyDescent="0.3">
      <c r="A65" s="14" t="s">
        <v>3</v>
      </c>
      <c r="B65" s="3"/>
      <c r="C65" s="3"/>
      <c r="D65" s="3"/>
      <c r="E65" s="3"/>
      <c r="F65" s="28"/>
      <c r="G65" s="3"/>
      <c r="H65" s="3"/>
      <c r="I65" s="3"/>
      <c r="J65" s="3"/>
      <c r="K65" s="3"/>
      <c r="L65" s="3"/>
      <c r="M65" s="4"/>
    </row>
    <row r="66" spans="1:13" x14ac:dyDescent="0.3">
      <c r="A66" s="15"/>
      <c r="B66" s="6"/>
      <c r="C66" s="7"/>
      <c r="D66" s="7"/>
      <c r="E66" s="7"/>
      <c r="F66" s="7"/>
      <c r="G66" s="7"/>
      <c r="H66" s="7"/>
      <c r="I66" s="7"/>
      <c r="J66" s="7"/>
      <c r="K66" s="7"/>
      <c r="L66" s="7"/>
      <c r="M66" s="8"/>
    </row>
    <row r="67" spans="1:13" x14ac:dyDescent="0.3">
      <c r="A67" s="21"/>
      <c r="B67" s="11" t="s">
        <v>9</v>
      </c>
      <c r="C67" s="11" t="s">
        <v>10</v>
      </c>
      <c r="D67" s="11" t="s">
        <v>11</v>
      </c>
      <c r="E67" s="11" t="s">
        <v>12</v>
      </c>
      <c r="F67" s="7"/>
      <c r="G67" s="7"/>
      <c r="H67" s="11" t="s">
        <v>2</v>
      </c>
      <c r="I67" s="11"/>
      <c r="J67" s="11" t="s">
        <v>0</v>
      </c>
      <c r="K67" s="7"/>
      <c r="L67" s="7"/>
      <c r="M67" s="8"/>
    </row>
    <row r="68" spans="1:13" x14ac:dyDescent="0.3">
      <c r="A68" s="5" t="s">
        <v>7</v>
      </c>
      <c r="B68" s="7" t="s">
        <v>13</v>
      </c>
      <c r="C68" s="49">
        <v>40913.8775306713</v>
      </c>
      <c r="D68" s="7">
        <v>10249</v>
      </c>
      <c r="E68" s="19">
        <v>1863.4</v>
      </c>
      <c r="F68" s="7"/>
      <c r="G68" s="7"/>
      <c r="H68" s="46" t="s">
        <v>153</v>
      </c>
      <c r="I68" s="7"/>
      <c r="J68" s="46">
        <f>SECOND(C68)</f>
        <v>39</v>
      </c>
      <c r="K68" s="7"/>
      <c r="L68" s="7"/>
      <c r="M68" s="8"/>
    </row>
    <row r="69" spans="1:13" x14ac:dyDescent="0.3">
      <c r="A69" s="5" t="s">
        <v>8</v>
      </c>
      <c r="B69" s="7" t="s">
        <v>18</v>
      </c>
      <c r="C69" s="49">
        <v>40813.41920138889</v>
      </c>
      <c r="D69" s="7">
        <v>10252</v>
      </c>
      <c r="E69" s="19">
        <v>3597.9</v>
      </c>
      <c r="F69" s="7"/>
      <c r="G69" s="7"/>
      <c r="H69" s="46" t="s">
        <v>154</v>
      </c>
      <c r="I69" s="7"/>
      <c r="J69" s="46">
        <f>SECOND(C69)</f>
        <v>39</v>
      </c>
      <c r="K69" s="7"/>
      <c r="L69" s="7"/>
      <c r="M69" s="8"/>
    </row>
    <row r="70" spans="1:13" x14ac:dyDescent="0.3">
      <c r="A70" s="5" t="s">
        <v>8</v>
      </c>
      <c r="B70" s="7" t="s">
        <v>14</v>
      </c>
      <c r="C70" s="49">
        <v>37312.507337962961</v>
      </c>
      <c r="D70" s="7">
        <v>10250</v>
      </c>
      <c r="E70" s="19">
        <v>1552.6</v>
      </c>
      <c r="F70" s="7"/>
      <c r="G70" s="7"/>
      <c r="H70" s="46" t="s">
        <v>155</v>
      </c>
      <c r="I70" s="7"/>
      <c r="J70" s="46">
        <f>SECOND(C70)</f>
        <v>34</v>
      </c>
      <c r="K70" s="7"/>
      <c r="L70" s="7"/>
      <c r="M70" s="8"/>
    </row>
    <row r="71" spans="1:13" x14ac:dyDescent="0.3">
      <c r="A71" s="5" t="s">
        <v>8</v>
      </c>
      <c r="B71" s="7" t="s">
        <v>15</v>
      </c>
      <c r="C71" s="49">
        <v>37062.342187499999</v>
      </c>
      <c r="D71" s="7">
        <v>10251</v>
      </c>
      <c r="E71" s="19">
        <v>654.05999999999995</v>
      </c>
      <c r="F71" s="7"/>
      <c r="G71" s="7"/>
      <c r="H71" s="46" t="s">
        <v>156</v>
      </c>
      <c r="I71" s="7"/>
      <c r="J71" s="46">
        <f>SECOND(C71)</f>
        <v>45</v>
      </c>
      <c r="K71" s="7"/>
      <c r="L71" s="7"/>
      <c r="M71" s="8"/>
    </row>
    <row r="72" spans="1:13" ht="15" thickBot="1" x14ac:dyDescent="0.35">
      <c r="A72" s="115"/>
      <c r="B72" s="116"/>
      <c r="C72" s="9"/>
      <c r="D72" s="9"/>
      <c r="E72" s="18"/>
      <c r="F72" s="9"/>
      <c r="G72" s="9"/>
      <c r="H72" s="9"/>
      <c r="I72" s="9"/>
      <c r="J72" s="9"/>
      <c r="K72" s="9"/>
      <c r="L72" s="9"/>
      <c r="M72" s="10"/>
    </row>
    <row r="77" spans="1:13" x14ac:dyDescent="0.3">
      <c r="A77" s="79" t="s">
        <v>10</v>
      </c>
      <c r="C77" t="s">
        <v>134</v>
      </c>
      <c r="D77" t="s">
        <v>143</v>
      </c>
      <c r="E77" t="s">
        <v>151</v>
      </c>
      <c r="F77" t="s">
        <v>214</v>
      </c>
    </row>
    <row r="78" spans="1:13" x14ac:dyDescent="0.3">
      <c r="A78" s="79">
        <v>40913.8775306713</v>
      </c>
      <c r="C78">
        <f>HOUR(A78)</f>
        <v>21</v>
      </c>
      <c r="D78">
        <f>MINUTE(A78)</f>
        <v>3</v>
      </c>
      <c r="E78">
        <f>SECOND(A78)</f>
        <v>39</v>
      </c>
      <c r="F78" s="82">
        <f>TIME(C78,D78,E78)</f>
        <v>0.87753472222222217</v>
      </c>
      <c r="G78" s="82"/>
      <c r="I78" s="80"/>
    </row>
    <row r="79" spans="1:13" x14ac:dyDescent="0.3">
      <c r="A79" s="79">
        <v>40813.41920138889</v>
      </c>
      <c r="C79">
        <f t="shared" ref="C79:C81" si="1">HOUR(A79)</f>
        <v>10</v>
      </c>
      <c r="D79">
        <f t="shared" ref="D79:D81" si="2">MINUTE(A79)</f>
        <v>3</v>
      </c>
      <c r="E79">
        <f t="shared" ref="E79:E81" si="3">SECOND(A79)</f>
        <v>39</v>
      </c>
      <c r="F79" s="82">
        <f t="shared" ref="F79:F81" si="4">TIME(C79,D79,E79)</f>
        <v>0.41920138888888892</v>
      </c>
      <c r="G79" s="82"/>
      <c r="I79" s="80"/>
    </row>
    <row r="80" spans="1:13" x14ac:dyDescent="0.3">
      <c r="A80" s="79">
        <v>37312.507337962961</v>
      </c>
      <c r="C80">
        <f t="shared" si="1"/>
        <v>12</v>
      </c>
      <c r="D80">
        <f t="shared" si="2"/>
        <v>10</v>
      </c>
      <c r="E80">
        <f t="shared" si="3"/>
        <v>34</v>
      </c>
      <c r="F80" s="82">
        <f t="shared" si="4"/>
        <v>0.50733796296296296</v>
      </c>
      <c r="G80" s="82"/>
      <c r="I80" s="80"/>
    </row>
    <row r="81" spans="1:9" x14ac:dyDescent="0.3">
      <c r="A81" s="79">
        <v>37062.342187499999</v>
      </c>
      <c r="C81">
        <f t="shared" si="1"/>
        <v>8</v>
      </c>
      <c r="D81">
        <f t="shared" si="2"/>
        <v>12</v>
      </c>
      <c r="E81">
        <f t="shared" si="3"/>
        <v>45</v>
      </c>
      <c r="F81" s="82">
        <f t="shared" si="4"/>
        <v>0.34218749999999998</v>
      </c>
      <c r="G81" s="82"/>
      <c r="I81" s="80"/>
    </row>
    <row r="82" spans="1:9" x14ac:dyDescent="0.3">
      <c r="I82" s="80"/>
    </row>
    <row r="83" spans="1:9" x14ac:dyDescent="0.3">
      <c r="I83" s="80"/>
    </row>
    <row r="84" spans="1:9" x14ac:dyDescent="0.3">
      <c r="I84" s="81">
        <f>SUM(I78:I83)</f>
        <v>0</v>
      </c>
    </row>
    <row r="87" spans="1:9" x14ac:dyDescent="0.3">
      <c r="B87" s="80">
        <v>0.8771296296296297</v>
      </c>
    </row>
    <row r="88" spans="1:9" x14ac:dyDescent="0.3">
      <c r="B88" s="80">
        <v>4.3796296296296298E-2</v>
      </c>
      <c r="E88" s="84">
        <v>0.8771296296296297</v>
      </c>
    </row>
    <row r="89" spans="1:9" x14ac:dyDescent="0.3">
      <c r="B89" s="80">
        <v>8.5462962962962963E-2</v>
      </c>
    </row>
    <row r="90" spans="1:9" x14ac:dyDescent="0.3">
      <c r="B90" s="80">
        <v>0.8771296296296297</v>
      </c>
      <c r="E90" t="s">
        <v>305</v>
      </c>
      <c r="H90" s="82"/>
    </row>
    <row r="91" spans="1:9" x14ac:dyDescent="0.3">
      <c r="B91" s="80">
        <v>6.2546296296296294E-2</v>
      </c>
      <c r="H91" s="82"/>
    </row>
    <row r="92" spans="1:9" x14ac:dyDescent="0.3">
      <c r="B92" s="80">
        <v>0.37712962962962965</v>
      </c>
      <c r="H92" s="82"/>
    </row>
    <row r="93" spans="1:9" x14ac:dyDescent="0.3">
      <c r="B93" s="80">
        <v>0.8771296296296297</v>
      </c>
      <c r="H93" s="82"/>
    </row>
    <row r="94" spans="1:9" x14ac:dyDescent="0.3">
      <c r="B94" s="80">
        <v>0.83546296296296296</v>
      </c>
      <c r="H94" s="82"/>
    </row>
    <row r="95" spans="1:9" x14ac:dyDescent="0.3">
      <c r="B95" s="80">
        <v>0.96046296296296296</v>
      </c>
      <c r="C95" s="81"/>
      <c r="E95" t="s">
        <v>406</v>
      </c>
      <c r="H95" s="82"/>
    </row>
    <row r="96" spans="1:9" x14ac:dyDescent="0.3">
      <c r="B96" s="80">
        <v>0.96046296296296296</v>
      </c>
      <c r="H96" s="82"/>
    </row>
    <row r="97" spans="2:8" x14ac:dyDescent="0.3">
      <c r="B97" s="80">
        <v>0.96046296296296296</v>
      </c>
      <c r="C97" s="80">
        <f>SUM(B87:B97)</f>
        <v>6.9171759259259273</v>
      </c>
      <c r="H97" s="82"/>
    </row>
    <row r="98" spans="2:8" x14ac:dyDescent="0.3">
      <c r="B98" s="81">
        <f>SUM(B87:B97)</f>
        <v>6.9171759259259273</v>
      </c>
    </row>
  </sheetData>
  <customSheetViews>
    <customSheetView guid="{A27D5E1E-B06B-4AE2-9D20-CB87A5C74206}" showGridLines="0" topLeftCell="A39">
      <selection activeCell="A6" sqref="A6"/>
      <pageMargins left="0.7" right="0.7" top="0.75" bottom="0.75" header="0.3" footer="0.3"/>
    </customSheetView>
  </customSheetViews>
  <mergeCells count="4">
    <mergeCell ref="A1:M1"/>
    <mergeCell ref="A24:B24"/>
    <mergeCell ref="A48:B48"/>
    <mergeCell ref="A72:B7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M90"/>
  <sheetViews>
    <sheetView showGridLines="0" tabSelected="1" topLeftCell="A34" zoomScale="115" zoomScaleNormal="115" workbookViewId="0">
      <selection activeCell="G46" sqref="G46"/>
    </sheetView>
  </sheetViews>
  <sheetFormatPr defaultColWidth="11.44140625" defaultRowHeight="14.4" x14ac:dyDescent="0.3"/>
  <cols>
    <col min="3" max="3" width="18.33203125" bestFit="1" customWidth="1"/>
  </cols>
  <sheetData>
    <row r="1" spans="1:13" x14ac:dyDescent="0.3">
      <c r="A1" s="114" t="s">
        <v>215</v>
      </c>
      <c r="B1" s="114"/>
      <c r="C1" s="114"/>
      <c r="D1" s="114"/>
      <c r="E1" s="114"/>
      <c r="F1" s="114"/>
      <c r="G1" s="114"/>
      <c r="H1" s="114"/>
      <c r="I1" s="114"/>
      <c r="J1" s="114"/>
      <c r="K1" s="114"/>
      <c r="L1" s="114"/>
      <c r="M1" s="114"/>
    </row>
    <row r="3" spans="1:13" x14ac:dyDescent="0.3">
      <c r="A3" s="16" t="s">
        <v>160</v>
      </c>
    </row>
    <row r="5" spans="1:13" x14ac:dyDescent="0.3">
      <c r="A5" s="1" t="s">
        <v>4</v>
      </c>
    </row>
    <row r="6" spans="1:13" x14ac:dyDescent="0.3">
      <c r="A6" s="1"/>
    </row>
    <row r="7" spans="1:13" x14ac:dyDescent="0.3">
      <c r="A7" s="20" t="s">
        <v>161</v>
      </c>
    </row>
    <row r="8" spans="1:13" x14ac:dyDescent="0.3">
      <c r="A8" s="20"/>
    </row>
    <row r="9" spans="1:13" x14ac:dyDescent="0.3">
      <c r="A9" s="1" t="s">
        <v>5</v>
      </c>
    </row>
    <row r="10" spans="1:13" x14ac:dyDescent="0.3">
      <c r="A10" s="34" t="s">
        <v>162</v>
      </c>
    </row>
    <row r="11" spans="1:13" x14ac:dyDescent="0.3">
      <c r="A11" t="s">
        <v>163</v>
      </c>
    </row>
    <row r="12" spans="1:13" x14ac:dyDescent="0.3">
      <c r="A12" s="34" t="s">
        <v>164</v>
      </c>
    </row>
    <row r="13" spans="1:13" x14ac:dyDescent="0.3">
      <c r="A13" t="s">
        <v>165</v>
      </c>
    </row>
    <row r="14" spans="1:13" x14ac:dyDescent="0.3">
      <c r="A14" s="34" t="s">
        <v>166</v>
      </c>
    </row>
    <row r="15" spans="1:13" x14ac:dyDescent="0.3">
      <c r="A15" t="s">
        <v>167</v>
      </c>
    </row>
    <row r="16" spans="1:13" ht="15" thickBot="1" x14ac:dyDescent="0.35"/>
    <row r="17" spans="1:13" x14ac:dyDescent="0.3">
      <c r="A17" s="14" t="s">
        <v>3</v>
      </c>
      <c r="B17" s="3"/>
      <c r="C17" s="3"/>
      <c r="D17" s="3"/>
      <c r="E17" s="3"/>
      <c r="F17" s="28"/>
      <c r="G17" s="3"/>
      <c r="H17" s="3"/>
      <c r="I17" s="3"/>
      <c r="J17" s="3"/>
      <c r="K17" s="3"/>
      <c r="L17" s="3"/>
      <c r="M17" s="4"/>
    </row>
    <row r="18" spans="1:13" x14ac:dyDescent="0.3">
      <c r="A18" s="15"/>
      <c r="B18" s="6"/>
      <c r="C18" s="7"/>
      <c r="D18" s="7"/>
      <c r="E18" s="7"/>
      <c r="F18" s="7"/>
      <c r="G18" s="7"/>
      <c r="H18" s="7"/>
      <c r="I18" s="7"/>
      <c r="J18" s="7"/>
      <c r="K18" s="7"/>
      <c r="L18" s="7"/>
      <c r="M18" s="8"/>
    </row>
    <row r="19" spans="1:13" x14ac:dyDescent="0.3">
      <c r="A19" s="21" t="s">
        <v>110</v>
      </c>
      <c r="B19" s="11" t="s">
        <v>119</v>
      </c>
      <c r="C19" s="11" t="s">
        <v>125</v>
      </c>
      <c r="D19" s="11"/>
      <c r="E19" s="11" t="s">
        <v>2</v>
      </c>
      <c r="F19" s="11"/>
      <c r="G19" s="11" t="s">
        <v>0</v>
      </c>
      <c r="H19" s="7"/>
      <c r="I19" s="7"/>
      <c r="J19" s="7"/>
      <c r="K19" s="7"/>
      <c r="L19" s="7"/>
      <c r="M19" s="8"/>
    </row>
    <row r="20" spans="1:13" x14ac:dyDescent="0.3">
      <c r="A20" s="5">
        <v>2000</v>
      </c>
      <c r="B20" s="7">
        <v>12</v>
      </c>
      <c r="C20" s="7">
        <v>21</v>
      </c>
      <c r="D20" s="7"/>
      <c r="E20" s="50" t="s">
        <v>168</v>
      </c>
      <c r="F20" s="7"/>
      <c r="G20" s="50">
        <f>DATE(A20,B20,C20)</f>
        <v>35419</v>
      </c>
      <c r="H20" s="7"/>
      <c r="I20" s="7"/>
      <c r="J20" s="7"/>
      <c r="K20" s="7"/>
      <c r="L20" s="7"/>
      <c r="M20" s="8"/>
    </row>
    <row r="21" spans="1:13" x14ac:dyDescent="0.3">
      <c r="A21" s="5">
        <v>2001</v>
      </c>
      <c r="B21" s="7">
        <v>11</v>
      </c>
      <c r="C21" s="7">
        <v>31</v>
      </c>
      <c r="D21" s="7"/>
      <c r="E21" s="50" t="s">
        <v>169</v>
      </c>
      <c r="F21" s="7"/>
      <c r="G21" s="50">
        <f t="shared" ref="G21:G22" si="0">DATE(A21,B21,C21)</f>
        <v>35764</v>
      </c>
      <c r="H21" s="7"/>
      <c r="I21" s="7"/>
      <c r="J21" s="7"/>
      <c r="K21" s="7"/>
      <c r="L21" s="7"/>
      <c r="M21" s="8"/>
    </row>
    <row r="22" spans="1:13" x14ac:dyDescent="0.3">
      <c r="A22" s="5">
        <v>2004</v>
      </c>
      <c r="B22" s="7">
        <v>1</v>
      </c>
      <c r="C22" s="7">
        <v>28</v>
      </c>
      <c r="D22" s="7"/>
      <c r="E22" s="50" t="s">
        <v>170</v>
      </c>
      <c r="F22" s="7"/>
      <c r="G22" s="50">
        <f t="shared" si="0"/>
        <v>36552</v>
      </c>
      <c r="H22" s="7"/>
      <c r="I22" s="7"/>
      <c r="J22" s="7"/>
      <c r="K22" s="7"/>
      <c r="L22" s="7"/>
      <c r="M22" s="8"/>
    </row>
    <row r="23" spans="1:13" x14ac:dyDescent="0.3">
      <c r="A23" s="5"/>
      <c r="B23" s="7"/>
      <c r="C23" s="49"/>
      <c r="D23" s="7"/>
      <c r="E23" s="46"/>
      <c r="F23" s="7"/>
      <c r="G23" s="46"/>
      <c r="H23" s="7"/>
      <c r="I23" s="7"/>
      <c r="J23" s="7"/>
      <c r="K23" s="7"/>
      <c r="L23" s="7"/>
      <c r="M23" s="8"/>
    </row>
    <row r="24" spans="1:13" ht="15" thickBot="1" x14ac:dyDescent="0.35">
      <c r="A24" s="115"/>
      <c r="B24" s="116"/>
      <c r="C24" s="9"/>
      <c r="D24" s="9"/>
      <c r="E24" s="18"/>
      <c r="F24" s="9"/>
      <c r="G24" s="9"/>
      <c r="H24" s="9"/>
      <c r="I24" s="9"/>
      <c r="J24" s="9"/>
      <c r="K24" s="9"/>
      <c r="L24" s="9"/>
      <c r="M24" s="10"/>
    </row>
    <row r="27" spans="1:13" x14ac:dyDescent="0.3">
      <c r="A27" s="1" t="s">
        <v>214</v>
      </c>
    </row>
    <row r="29" spans="1:13" x14ac:dyDescent="0.3">
      <c r="A29" s="16" t="s">
        <v>217</v>
      </c>
    </row>
    <row r="31" spans="1:13" x14ac:dyDescent="0.3">
      <c r="A31" s="1" t="s">
        <v>4</v>
      </c>
    </row>
    <row r="32" spans="1:13" x14ac:dyDescent="0.3">
      <c r="A32" s="1"/>
    </row>
    <row r="33" spans="1:13" x14ac:dyDescent="0.3">
      <c r="A33" s="20" t="s">
        <v>218</v>
      </c>
    </row>
    <row r="34" spans="1:13" x14ac:dyDescent="0.3">
      <c r="A34" s="20"/>
    </row>
    <row r="35" spans="1:13" x14ac:dyDescent="0.3">
      <c r="A35" s="1" t="s">
        <v>5</v>
      </c>
    </row>
    <row r="36" spans="1:13" x14ac:dyDescent="0.3">
      <c r="A36" s="34" t="s">
        <v>219</v>
      </c>
    </row>
    <row r="37" spans="1:13" x14ac:dyDescent="0.3">
      <c r="A37" t="s">
        <v>220</v>
      </c>
    </row>
    <row r="38" spans="1:13" x14ac:dyDescent="0.3">
      <c r="A38" s="34" t="s">
        <v>221</v>
      </c>
    </row>
    <row r="39" spans="1:13" x14ac:dyDescent="0.3">
      <c r="A39" t="s">
        <v>222</v>
      </c>
    </row>
    <row r="40" spans="1:13" x14ac:dyDescent="0.3">
      <c r="A40" s="34" t="s">
        <v>223</v>
      </c>
    </row>
    <row r="41" spans="1:13" x14ac:dyDescent="0.3">
      <c r="A41" t="s">
        <v>224</v>
      </c>
    </row>
    <row r="42" spans="1:13" ht="15" thickBot="1" x14ac:dyDescent="0.35"/>
    <row r="43" spans="1:13" x14ac:dyDescent="0.3">
      <c r="A43" s="14" t="s">
        <v>3</v>
      </c>
      <c r="B43" s="3"/>
      <c r="C43" s="3"/>
      <c r="D43" s="3"/>
      <c r="E43" s="3"/>
      <c r="F43" s="28"/>
      <c r="G43" s="3"/>
      <c r="H43" s="3"/>
      <c r="I43" s="3"/>
      <c r="J43" s="3"/>
      <c r="K43" s="3"/>
      <c r="L43" s="3"/>
      <c r="M43" s="4"/>
    </row>
    <row r="44" spans="1:13" x14ac:dyDescent="0.3">
      <c r="A44" s="15"/>
      <c r="B44" s="6"/>
      <c r="C44" s="7"/>
      <c r="D44" s="7"/>
      <c r="E44" s="7"/>
      <c r="F44" s="7"/>
      <c r="G44" s="7"/>
      <c r="H44" s="7"/>
      <c r="I44" s="7"/>
      <c r="J44" s="7"/>
      <c r="K44" s="7"/>
      <c r="L44" s="7"/>
      <c r="M44" s="8"/>
    </row>
    <row r="45" spans="1:13" x14ac:dyDescent="0.3">
      <c r="A45" s="21" t="s">
        <v>110</v>
      </c>
      <c r="B45" s="11" t="s">
        <v>119</v>
      </c>
      <c r="C45" s="11" t="s">
        <v>125</v>
      </c>
      <c r="D45" s="11"/>
      <c r="E45" s="11" t="s">
        <v>2</v>
      </c>
      <c r="F45" s="11"/>
      <c r="G45" s="11" t="s">
        <v>0</v>
      </c>
      <c r="H45" s="7"/>
      <c r="I45" s="7"/>
      <c r="J45" s="7"/>
      <c r="K45" s="7"/>
      <c r="L45" s="7"/>
      <c r="M45" s="8"/>
    </row>
    <row r="46" spans="1:13" x14ac:dyDescent="0.3">
      <c r="A46" s="5">
        <v>8</v>
      </c>
      <c r="B46" s="7">
        <v>12</v>
      </c>
      <c r="C46" s="7">
        <v>21</v>
      </c>
      <c r="D46" s="7"/>
      <c r="E46" s="50" t="s">
        <v>225</v>
      </c>
      <c r="F46" s="7"/>
      <c r="G46" s="58">
        <f>TIME(A46,B46,C46)</f>
        <v>0.34190972222222221</v>
      </c>
      <c r="H46" s="7"/>
      <c r="I46" s="7"/>
      <c r="J46" s="7"/>
      <c r="K46" s="7"/>
      <c r="L46" s="7"/>
      <c r="M46" s="8"/>
    </row>
    <row r="47" spans="1:13" x14ac:dyDescent="0.3">
      <c r="A47" s="5">
        <v>10</v>
      </c>
      <c r="B47" s="7">
        <v>11</v>
      </c>
      <c r="C47" s="7">
        <v>31</v>
      </c>
      <c r="D47" s="7"/>
      <c r="E47" s="50" t="s">
        <v>226</v>
      </c>
      <c r="F47" s="7"/>
      <c r="G47" s="58">
        <f>TIME(A47,B47,C47)</f>
        <v>0.42466435185185186</v>
      </c>
      <c r="H47" s="7"/>
      <c r="I47" s="7"/>
      <c r="J47" s="7"/>
      <c r="K47" s="7"/>
      <c r="L47" s="7"/>
      <c r="M47" s="8"/>
    </row>
    <row r="48" spans="1:13" x14ac:dyDescent="0.3">
      <c r="A48" s="5">
        <v>4</v>
      </c>
      <c r="B48" s="7">
        <v>1</v>
      </c>
      <c r="C48" s="7">
        <v>28</v>
      </c>
      <c r="D48" s="7"/>
      <c r="E48" s="50" t="s">
        <v>227</v>
      </c>
      <c r="F48" s="7"/>
      <c r="G48" s="58">
        <f>TIME(A48,B48,C48)</f>
        <v>0.16768518518518519</v>
      </c>
      <c r="H48" s="7"/>
      <c r="I48" s="7"/>
      <c r="J48" s="7"/>
      <c r="K48" s="7"/>
      <c r="L48" s="7"/>
      <c r="M48" s="8"/>
    </row>
    <row r="49" spans="1:13" x14ac:dyDescent="0.3">
      <c r="A49" s="5"/>
      <c r="B49" s="7"/>
      <c r="C49" s="49"/>
      <c r="D49" s="7"/>
      <c r="E49" s="46"/>
      <c r="F49" s="7"/>
      <c r="G49" s="46"/>
      <c r="H49" s="7"/>
      <c r="I49" s="7"/>
      <c r="J49" s="7"/>
      <c r="K49" s="7"/>
      <c r="L49" s="7"/>
      <c r="M49" s="8"/>
    </row>
    <row r="50" spans="1:13" ht="15" thickBot="1" x14ac:dyDescent="0.35">
      <c r="A50" s="115"/>
      <c r="B50" s="116"/>
      <c r="C50" s="9"/>
      <c r="D50" s="9"/>
      <c r="E50" s="18"/>
      <c r="F50" s="9"/>
      <c r="G50" s="9"/>
      <c r="H50" s="9"/>
      <c r="I50" s="9"/>
      <c r="J50" s="9"/>
      <c r="K50" s="9"/>
      <c r="L50" s="9"/>
      <c r="M50" s="10"/>
    </row>
    <row r="53" spans="1:13" x14ac:dyDescent="0.3">
      <c r="A53" t="s">
        <v>110</v>
      </c>
      <c r="B53" t="s">
        <v>119</v>
      </c>
      <c r="C53" t="s">
        <v>125</v>
      </c>
    </row>
    <row r="54" spans="1:13" x14ac:dyDescent="0.3">
      <c r="A54">
        <v>2001</v>
      </c>
      <c r="B54">
        <v>12</v>
      </c>
      <c r="C54">
        <v>21</v>
      </c>
      <c r="E54" s="62">
        <f>DATE(A54,B54,C54)</f>
        <v>35784</v>
      </c>
      <c r="G54" s="80"/>
      <c r="I54" s="80"/>
      <c r="J54" s="80"/>
      <c r="K54" s="80"/>
    </row>
    <row r="55" spans="1:13" x14ac:dyDescent="0.3">
      <c r="A55">
        <v>2010</v>
      </c>
      <c r="B55">
        <v>11</v>
      </c>
      <c r="C55">
        <v>30</v>
      </c>
      <c r="E55" s="62"/>
      <c r="G55" s="81"/>
      <c r="I55" s="81"/>
    </row>
    <row r="56" spans="1:13" x14ac:dyDescent="0.3">
      <c r="A56">
        <v>2004</v>
      </c>
      <c r="B56">
        <v>1</v>
      </c>
      <c r="C56">
        <v>28</v>
      </c>
      <c r="E56" s="62"/>
      <c r="G56" s="81"/>
      <c r="I56" s="81"/>
    </row>
    <row r="57" spans="1:13" x14ac:dyDescent="0.3">
      <c r="E57" s="62"/>
      <c r="G57" s="81"/>
      <c r="I57" s="81"/>
    </row>
    <row r="58" spans="1:13" x14ac:dyDescent="0.3">
      <c r="A58">
        <v>9</v>
      </c>
      <c r="B58">
        <v>34</v>
      </c>
      <c r="C58">
        <v>55</v>
      </c>
      <c r="E58" s="82">
        <f>TIME(A58,B58,C58)</f>
        <v>0.39924768518518516</v>
      </c>
      <c r="G58" s="81"/>
      <c r="I58" s="81"/>
    </row>
    <row r="59" spans="1:13" x14ac:dyDescent="0.3">
      <c r="A59" s="65"/>
      <c r="B59" s="62"/>
      <c r="G59" s="81"/>
      <c r="I59" s="81"/>
    </row>
    <row r="60" spans="1:13" x14ac:dyDescent="0.3">
      <c r="B60" s="65"/>
      <c r="G60" s="81"/>
      <c r="I60" s="81"/>
    </row>
    <row r="61" spans="1:13" x14ac:dyDescent="0.3">
      <c r="G61" s="81"/>
      <c r="I61" s="81"/>
    </row>
    <row r="63" spans="1:13" x14ac:dyDescent="0.3">
      <c r="A63" s="65">
        <v>42513</v>
      </c>
      <c r="C63">
        <f>YEAR(A63)</f>
        <v>2020</v>
      </c>
      <c r="E63">
        <f>MONTH(A63)</f>
        <v>5</v>
      </c>
      <c r="G63">
        <f>DAY(A63)</f>
        <v>24</v>
      </c>
    </row>
    <row r="68" spans="1:7" x14ac:dyDescent="0.3">
      <c r="A68" t="s">
        <v>305</v>
      </c>
      <c r="D68" t="str">
        <f>LEFT(A68,FIND(" ",A68)-1)</f>
        <v>21</v>
      </c>
      <c r="E68" t="str">
        <f>MID(A68,FIND("Hour",A68)+5,2)</f>
        <v>03</v>
      </c>
      <c r="F68" t="str">
        <f>MID(A68,FIND("Minute",A68)+7,2)</f>
        <v>04</v>
      </c>
      <c r="G68" s="82">
        <f>TIME(D68,E68,F68)</f>
        <v>0.87712962962962959</v>
      </c>
    </row>
    <row r="69" spans="1:7" x14ac:dyDescent="0.3">
      <c r="A69" t="s">
        <v>338</v>
      </c>
      <c r="D69" t="str">
        <f>LEFT(A69,FIND(" ",A69)-1)</f>
        <v>1</v>
      </c>
      <c r="E69" t="str">
        <f>MID(A69,FIND("Hour",A69)+5,2)</f>
        <v>01</v>
      </c>
      <c r="F69" t="str">
        <f>MID(A69,FIND("Minute",A69)+7,2)</f>
        <v>05</v>
      </c>
      <c r="G69" s="82">
        <f>TIME(D69,E69,F69)</f>
        <v>4.2418981481481481E-2</v>
      </c>
    </row>
    <row r="71" spans="1:7" x14ac:dyDescent="0.3">
      <c r="A71" t="s">
        <v>336</v>
      </c>
    </row>
    <row r="73" spans="1:7" x14ac:dyDescent="0.3">
      <c r="A73" s="65" t="s">
        <v>337</v>
      </c>
    </row>
    <row r="76" spans="1:7" x14ac:dyDescent="0.3">
      <c r="A76">
        <v>1</v>
      </c>
      <c r="B76" s="65">
        <f>DATE(2019,A76,1)</f>
        <v>42004</v>
      </c>
    </row>
    <row r="77" spans="1:7" x14ac:dyDescent="0.3">
      <c r="A77">
        <v>2</v>
      </c>
      <c r="B77" s="65">
        <f t="shared" ref="B77:B87" si="1">DATE(2019,A77,1)</f>
        <v>42035</v>
      </c>
    </row>
    <row r="78" spans="1:7" x14ac:dyDescent="0.3">
      <c r="A78">
        <v>3</v>
      </c>
      <c r="B78" s="65">
        <f t="shared" si="1"/>
        <v>42063</v>
      </c>
    </row>
    <row r="79" spans="1:7" x14ac:dyDescent="0.3">
      <c r="A79">
        <v>4</v>
      </c>
      <c r="B79" s="65">
        <f t="shared" si="1"/>
        <v>42094</v>
      </c>
    </row>
    <row r="80" spans="1:7" x14ac:dyDescent="0.3">
      <c r="A80">
        <v>5</v>
      </c>
      <c r="B80" s="65">
        <f t="shared" si="1"/>
        <v>42124</v>
      </c>
    </row>
    <row r="81" spans="1:4" x14ac:dyDescent="0.3">
      <c r="A81">
        <v>6</v>
      </c>
      <c r="B81" s="65">
        <f t="shared" si="1"/>
        <v>42155</v>
      </c>
    </row>
    <row r="82" spans="1:4" x14ac:dyDescent="0.3">
      <c r="A82">
        <v>7</v>
      </c>
      <c r="B82" s="65">
        <f t="shared" si="1"/>
        <v>42185</v>
      </c>
    </row>
    <row r="83" spans="1:4" x14ac:dyDescent="0.3">
      <c r="A83">
        <v>8</v>
      </c>
      <c r="B83" s="65">
        <f t="shared" si="1"/>
        <v>42216</v>
      </c>
    </row>
    <row r="84" spans="1:4" x14ac:dyDescent="0.3">
      <c r="A84">
        <v>9</v>
      </c>
      <c r="B84" s="65">
        <f t="shared" si="1"/>
        <v>42247</v>
      </c>
    </row>
    <row r="85" spans="1:4" x14ac:dyDescent="0.3">
      <c r="A85">
        <v>10</v>
      </c>
      <c r="B85" s="65">
        <f t="shared" si="1"/>
        <v>42277</v>
      </c>
    </row>
    <row r="86" spans="1:4" x14ac:dyDescent="0.3">
      <c r="A86">
        <v>11</v>
      </c>
      <c r="B86" s="65">
        <f t="shared" si="1"/>
        <v>42308</v>
      </c>
    </row>
    <row r="87" spans="1:4" x14ac:dyDescent="0.3">
      <c r="A87">
        <v>12</v>
      </c>
      <c r="B87" s="65">
        <f t="shared" si="1"/>
        <v>42338</v>
      </c>
    </row>
    <row r="89" spans="1:4" x14ac:dyDescent="0.3">
      <c r="C89" t="s">
        <v>339</v>
      </c>
      <c r="D89" t="s">
        <v>340</v>
      </c>
    </row>
    <row r="90" spans="1:4" x14ac:dyDescent="0.3">
      <c r="A90" s="62">
        <v>41973</v>
      </c>
      <c r="C90" s="62">
        <f>DATE(YEAR(A90),MONTH(A90)-1,DAY(A90))</f>
        <v>41943</v>
      </c>
      <c r="D90" s="65">
        <f>DATE(YEAR(A90)-1,MONTH(A90),1)</f>
        <v>41608</v>
      </c>
    </row>
  </sheetData>
  <customSheetViews>
    <customSheetView guid="{A27D5E1E-B06B-4AE2-9D20-CB87A5C74206}" showFormulas="1" showGridLines="0" topLeftCell="A108">
      <selection activeCell="H110" sqref="H110:H113"/>
      <pageMargins left="0.7" right="0.7" top="0.75" bottom="0.75" header="0.3" footer="0.3"/>
    </customSheetView>
  </customSheetViews>
  <mergeCells count="3">
    <mergeCell ref="A1:M1"/>
    <mergeCell ref="A24:B24"/>
    <mergeCell ref="A50:B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M172"/>
  <sheetViews>
    <sheetView showGridLines="0" topLeftCell="A34" zoomScale="160" zoomScaleNormal="160" workbookViewId="0">
      <selection activeCell="C44" sqref="C44"/>
    </sheetView>
  </sheetViews>
  <sheetFormatPr defaultColWidth="9.109375" defaultRowHeight="14.4" x14ac:dyDescent="0.3"/>
  <cols>
    <col min="1" max="1" width="16.44140625" style="17" bestFit="1" customWidth="1"/>
    <col min="2" max="2" width="21.88671875" style="17" customWidth="1"/>
    <col min="3" max="3" width="26.88671875" style="17" customWidth="1"/>
    <col min="4" max="5" width="9.109375" style="17"/>
    <col min="6" max="7" width="10.44140625" style="17" bestFit="1" customWidth="1"/>
    <col min="8" max="16384" width="9.109375" style="17"/>
  </cols>
  <sheetData>
    <row r="1" spans="1:13" x14ac:dyDescent="0.3">
      <c r="A1" s="117" t="s">
        <v>171</v>
      </c>
      <c r="B1" s="117"/>
      <c r="C1" s="117"/>
      <c r="D1" s="117"/>
      <c r="E1" s="117"/>
      <c r="F1" s="117"/>
      <c r="G1" s="117"/>
      <c r="H1" s="117"/>
      <c r="I1" s="117"/>
      <c r="J1" s="117"/>
      <c r="K1" s="117"/>
      <c r="L1" s="117"/>
      <c r="M1" s="117"/>
    </row>
    <row r="3" spans="1:13" x14ac:dyDescent="0.3">
      <c r="A3" s="16" t="s">
        <v>172</v>
      </c>
    </row>
    <row r="4" spans="1:13" x14ac:dyDescent="0.3">
      <c r="A4"/>
    </row>
    <row r="5" spans="1:13" x14ac:dyDescent="0.3">
      <c r="A5" s="1" t="s">
        <v>4</v>
      </c>
    </row>
    <row r="6" spans="1:13" x14ac:dyDescent="0.3">
      <c r="A6" s="1"/>
    </row>
    <row r="7" spans="1:13" x14ac:dyDescent="0.3">
      <c r="A7" s="20" t="s">
        <v>173</v>
      </c>
    </row>
    <row r="8" spans="1:13" x14ac:dyDescent="0.3">
      <c r="A8" s="20"/>
    </row>
    <row r="9" spans="1:13" x14ac:dyDescent="0.3">
      <c r="A9" s="1" t="s">
        <v>5</v>
      </c>
    </row>
    <row r="10" spans="1:13" x14ac:dyDescent="0.3">
      <c r="A10" s="51" t="s">
        <v>137</v>
      </c>
    </row>
    <row r="11" spans="1:13" x14ac:dyDescent="0.3">
      <c r="A11" s="17" t="s">
        <v>174</v>
      </c>
    </row>
    <row r="12" spans="1:13" x14ac:dyDescent="0.3">
      <c r="A12" s="51" t="s">
        <v>175</v>
      </c>
    </row>
    <row r="13" spans="1:13" x14ac:dyDescent="0.3">
      <c r="A13" s="17" t="s">
        <v>176</v>
      </c>
    </row>
    <row r="15" spans="1:13" x14ac:dyDescent="0.3">
      <c r="A15" s="17" t="s">
        <v>177</v>
      </c>
    </row>
    <row r="17" spans="1:13" x14ac:dyDescent="0.3">
      <c r="A17" s="53" t="s">
        <v>178</v>
      </c>
      <c r="B17" s="53" t="s">
        <v>179</v>
      </c>
      <c r="C17" s="53" t="s">
        <v>180</v>
      </c>
    </row>
    <row r="18" spans="1:13" ht="20.399999999999999" x14ac:dyDescent="0.3">
      <c r="A18" s="118">
        <v>1</v>
      </c>
      <c r="B18" s="52" t="s">
        <v>181</v>
      </c>
      <c r="C18" s="118"/>
    </row>
    <row r="19" spans="1:13" ht="20.399999999999999" x14ac:dyDescent="0.3">
      <c r="A19" s="118"/>
      <c r="B19" s="52" t="s">
        <v>182</v>
      </c>
      <c r="C19" s="118"/>
    </row>
    <row r="20" spans="1:13" ht="20.399999999999999" x14ac:dyDescent="0.3">
      <c r="A20" s="52">
        <v>2</v>
      </c>
      <c r="B20" s="52" t="s">
        <v>183</v>
      </c>
      <c r="C20" s="52"/>
    </row>
    <row r="21" spans="1:13" ht="20.399999999999999" x14ac:dyDescent="0.3">
      <c r="A21" s="52">
        <v>3</v>
      </c>
      <c r="B21" s="52" t="s">
        <v>184</v>
      </c>
      <c r="C21" s="52"/>
    </row>
    <row r="22" spans="1:13" ht="20.399999999999999" x14ac:dyDescent="0.3">
      <c r="A22" s="52">
        <v>11</v>
      </c>
      <c r="B22" s="52" t="s">
        <v>183</v>
      </c>
      <c r="C22" s="52" t="s">
        <v>185</v>
      </c>
    </row>
    <row r="23" spans="1:13" ht="20.399999999999999" x14ac:dyDescent="0.3">
      <c r="A23" s="52">
        <v>12</v>
      </c>
      <c r="B23" s="52" t="s">
        <v>186</v>
      </c>
      <c r="C23" s="52" t="s">
        <v>185</v>
      </c>
    </row>
    <row r="24" spans="1:13" ht="20.399999999999999" x14ac:dyDescent="0.3">
      <c r="A24" s="52">
        <v>13</v>
      </c>
      <c r="B24" s="52" t="s">
        <v>187</v>
      </c>
      <c r="C24" s="52" t="s">
        <v>185</v>
      </c>
    </row>
    <row r="25" spans="1:13" ht="20.399999999999999" x14ac:dyDescent="0.3">
      <c r="A25" s="52">
        <v>14</v>
      </c>
      <c r="B25" s="52" t="s">
        <v>188</v>
      </c>
      <c r="C25" s="52" t="s">
        <v>185</v>
      </c>
    </row>
    <row r="26" spans="1:13" ht="20.399999999999999" x14ac:dyDescent="0.3">
      <c r="A26" s="52">
        <v>15</v>
      </c>
      <c r="B26" s="52" t="s">
        <v>189</v>
      </c>
      <c r="C26" s="52" t="s">
        <v>185</v>
      </c>
    </row>
    <row r="27" spans="1:13" ht="20.399999999999999" x14ac:dyDescent="0.3">
      <c r="A27" s="52">
        <v>16</v>
      </c>
      <c r="B27" s="52" t="s">
        <v>190</v>
      </c>
      <c r="C27" s="52" t="s">
        <v>185</v>
      </c>
    </row>
    <row r="28" spans="1:13" ht="20.399999999999999" x14ac:dyDescent="0.3">
      <c r="A28" s="52">
        <v>17</v>
      </c>
      <c r="B28" s="52" t="s">
        <v>181</v>
      </c>
      <c r="C28" s="52" t="s">
        <v>185</v>
      </c>
    </row>
    <row r="30" spans="1:13" x14ac:dyDescent="0.3">
      <c r="A30" s="17" t="s">
        <v>191</v>
      </c>
    </row>
    <row r="31" spans="1:13" ht="15" thickBot="1" x14ac:dyDescent="0.35"/>
    <row r="32" spans="1:13" x14ac:dyDescent="0.3">
      <c r="A32" s="14" t="s">
        <v>3</v>
      </c>
      <c r="B32" s="3"/>
      <c r="C32" s="3"/>
      <c r="D32" s="3"/>
      <c r="E32" s="3"/>
      <c r="F32" s="28"/>
      <c r="G32" s="3"/>
      <c r="H32" s="3"/>
      <c r="I32" s="3"/>
      <c r="J32" s="3"/>
      <c r="K32" s="3"/>
      <c r="L32" s="3"/>
      <c r="M32" s="4"/>
    </row>
    <row r="33" spans="1:13" x14ac:dyDescent="0.3">
      <c r="A33" s="15"/>
      <c r="B33" s="6"/>
      <c r="C33" s="7"/>
      <c r="D33" s="7"/>
      <c r="E33" s="7"/>
      <c r="F33" s="7"/>
      <c r="G33" s="7"/>
      <c r="H33" s="7"/>
      <c r="I33" s="7"/>
      <c r="J33" s="7"/>
      <c r="K33" s="7"/>
      <c r="L33" s="7"/>
      <c r="M33" s="8"/>
    </row>
    <row r="34" spans="1:13" x14ac:dyDescent="0.3">
      <c r="A34" s="21" t="s">
        <v>159</v>
      </c>
      <c r="B34" s="11"/>
      <c r="C34" s="11" t="s">
        <v>2</v>
      </c>
      <c r="D34" s="11" t="s">
        <v>0</v>
      </c>
      <c r="E34" s="11"/>
      <c r="F34" s="11"/>
      <c r="G34" s="11"/>
      <c r="H34" s="7"/>
      <c r="I34" s="7"/>
      <c r="J34" s="7"/>
      <c r="K34" s="7"/>
      <c r="L34" s="7"/>
      <c r="M34" s="8"/>
    </row>
    <row r="35" spans="1:13" x14ac:dyDescent="0.3">
      <c r="A35" s="54">
        <v>40913</v>
      </c>
      <c r="B35" s="7"/>
      <c r="C35" s="46" t="s">
        <v>192</v>
      </c>
      <c r="D35" s="46">
        <f>WEEKDAY(A35)</f>
        <v>4</v>
      </c>
      <c r="E35" s="50"/>
      <c r="F35" s="83">
        <f>WEEKDAY(A35,1)</f>
        <v>4</v>
      </c>
      <c r="G35" s="50"/>
      <c r="H35" s="7"/>
      <c r="I35" s="7"/>
      <c r="J35" s="7"/>
      <c r="K35" s="7"/>
      <c r="L35" s="7"/>
      <c r="M35" s="8"/>
    </row>
    <row r="36" spans="1:13" x14ac:dyDescent="0.3">
      <c r="A36" s="54">
        <v>40913</v>
      </c>
      <c r="B36" s="7"/>
      <c r="C36" s="46" t="s">
        <v>193</v>
      </c>
      <c r="D36" s="46">
        <f>WEEKDAY(A36,1)</f>
        <v>4</v>
      </c>
      <c r="E36" s="50"/>
      <c r="F36" s="7"/>
      <c r="G36" s="50"/>
      <c r="H36" s="7"/>
      <c r="I36" s="7"/>
      <c r="J36" s="7"/>
      <c r="K36" s="7"/>
      <c r="L36" s="7"/>
      <c r="M36" s="8"/>
    </row>
    <row r="37" spans="1:13" x14ac:dyDescent="0.3">
      <c r="A37" s="54">
        <v>40913</v>
      </c>
      <c r="B37" s="7"/>
      <c r="C37" s="46" t="s">
        <v>194</v>
      </c>
      <c r="D37" s="46">
        <f>WEEKDAY(A37,2)</f>
        <v>3</v>
      </c>
      <c r="E37" s="50"/>
      <c r="F37" s="7"/>
      <c r="G37" s="50"/>
      <c r="H37" s="7"/>
      <c r="I37" s="7"/>
      <c r="J37" s="7"/>
      <c r="K37" s="7"/>
      <c r="L37" s="7"/>
      <c r="M37" s="8"/>
    </row>
    <row r="38" spans="1:13" x14ac:dyDescent="0.3">
      <c r="A38" s="54">
        <v>40913</v>
      </c>
      <c r="B38" s="7"/>
      <c r="C38" s="46" t="s">
        <v>195</v>
      </c>
      <c r="D38" s="46">
        <f>WEEKDAY(A38,3)</f>
        <v>2</v>
      </c>
      <c r="E38" s="46"/>
      <c r="F38" s="7"/>
      <c r="G38" s="46"/>
      <c r="H38" s="7"/>
      <c r="I38" s="7"/>
      <c r="J38" s="7"/>
      <c r="K38" s="7"/>
      <c r="L38" s="7"/>
      <c r="M38" s="8"/>
    </row>
    <row r="39" spans="1:13" ht="15" thickBot="1" x14ac:dyDescent="0.35">
      <c r="A39" s="115"/>
      <c r="B39" s="116"/>
      <c r="C39" s="9"/>
      <c r="D39" s="9"/>
      <c r="E39" s="18"/>
      <c r="F39" s="9"/>
      <c r="G39" s="9"/>
      <c r="H39" s="9"/>
      <c r="I39" s="9"/>
      <c r="J39" s="9"/>
      <c r="K39" s="9"/>
      <c r="L39" s="9"/>
      <c r="M39" s="10"/>
    </row>
    <row r="40" spans="1:13" x14ac:dyDescent="0.3">
      <c r="A40"/>
    </row>
    <row r="43" spans="1:13" x14ac:dyDescent="0.3">
      <c r="A43" s="111">
        <v>42562</v>
      </c>
      <c r="C43" s="17">
        <f>WEEKDAY(A43,2)</f>
        <v>7</v>
      </c>
    </row>
    <row r="47" spans="1:13" x14ac:dyDescent="0.3">
      <c r="A47" s="66">
        <v>40959</v>
      </c>
    </row>
    <row r="51" spans="1:1" x14ac:dyDescent="0.3">
      <c r="A51" s="66">
        <v>41001</v>
      </c>
    </row>
    <row r="54" spans="1:1" x14ac:dyDescent="0.3">
      <c r="A54" s="66">
        <v>41036</v>
      </c>
    </row>
    <row r="60" spans="1:1" x14ac:dyDescent="0.3">
      <c r="A60"/>
    </row>
    <row r="84" spans="1:1" x14ac:dyDescent="0.3">
      <c r="A84"/>
    </row>
    <row r="106" spans="1:1" x14ac:dyDescent="0.3">
      <c r="A106" s="29"/>
    </row>
    <row r="112" spans="1:1" x14ac:dyDescent="0.3">
      <c r="A112"/>
    </row>
    <row r="146" spans="1:1" x14ac:dyDescent="0.3">
      <c r="A146"/>
    </row>
    <row r="170" spans="1:1" x14ac:dyDescent="0.3">
      <c r="A170" s="31"/>
    </row>
    <row r="172" spans="1:1" x14ac:dyDescent="0.3">
      <c r="A172" s="31"/>
    </row>
  </sheetData>
  <sheetProtection formatCells="0"/>
  <customSheetViews>
    <customSheetView guid="{A27D5E1E-B06B-4AE2-9D20-CB87A5C74206}" showGridLines="0">
      <selection activeCell="F61" sqref="F61"/>
      <pageMargins left="0.7" right="0.7" top="0.75" bottom="0.75" header="0.3" footer="0.3"/>
    </customSheetView>
  </customSheetViews>
  <mergeCells count="4">
    <mergeCell ref="A1:M1"/>
    <mergeCell ref="A18:A19"/>
    <mergeCell ref="C18:C19"/>
    <mergeCell ref="A39:B3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M44"/>
  <sheetViews>
    <sheetView showGridLines="0" topLeftCell="A38" zoomScale="175" zoomScaleNormal="175" workbookViewId="0">
      <selection activeCell="C47" sqref="C47"/>
    </sheetView>
  </sheetViews>
  <sheetFormatPr defaultRowHeight="14.4" x14ac:dyDescent="0.3"/>
  <cols>
    <col min="1" max="1" width="16.44140625" bestFit="1" customWidth="1"/>
    <col min="2" max="2" width="13.44140625" bestFit="1" customWidth="1"/>
    <col min="3" max="3" width="26.88671875" customWidth="1"/>
  </cols>
  <sheetData>
    <row r="1" spans="1:12" x14ac:dyDescent="0.3">
      <c r="A1" s="114" t="s">
        <v>196</v>
      </c>
      <c r="B1" s="114"/>
      <c r="C1" s="114"/>
      <c r="D1" s="114"/>
      <c r="E1" s="114"/>
      <c r="F1" s="114"/>
      <c r="G1" s="114"/>
      <c r="H1" s="114"/>
      <c r="I1" s="114"/>
      <c r="J1" s="114"/>
      <c r="K1" s="114"/>
      <c r="L1" s="114"/>
    </row>
    <row r="3" spans="1:12" x14ac:dyDescent="0.3">
      <c r="A3" s="16" t="s">
        <v>240</v>
      </c>
      <c r="B3" s="32"/>
      <c r="C3" s="32"/>
      <c r="D3" s="32"/>
      <c r="E3" s="32"/>
      <c r="F3" s="32"/>
      <c r="G3" s="32"/>
      <c r="H3" s="32"/>
      <c r="I3" s="32"/>
      <c r="J3" s="32"/>
      <c r="K3" s="32"/>
    </row>
    <row r="4" spans="1:12" x14ac:dyDescent="0.3">
      <c r="B4" s="32"/>
      <c r="C4" s="32"/>
      <c r="D4" s="32"/>
      <c r="E4" s="32"/>
      <c r="F4" s="32"/>
      <c r="G4" s="32"/>
      <c r="H4" s="32"/>
      <c r="I4" s="32"/>
      <c r="J4" s="32"/>
      <c r="K4" s="32"/>
    </row>
    <row r="5" spans="1:12" x14ac:dyDescent="0.3">
      <c r="A5" s="1" t="s">
        <v>4</v>
      </c>
      <c r="B5" s="32"/>
      <c r="C5" s="32"/>
      <c r="D5" s="32"/>
      <c r="E5" s="32"/>
      <c r="F5" s="32"/>
      <c r="G5" s="32"/>
      <c r="H5" s="32"/>
      <c r="I5" s="32"/>
      <c r="J5" s="32"/>
      <c r="K5" s="32"/>
    </row>
    <row r="6" spans="1:12" x14ac:dyDescent="0.3">
      <c r="A6" s="1"/>
      <c r="B6" s="32"/>
      <c r="C6" s="32"/>
      <c r="D6" s="32"/>
      <c r="E6" s="32"/>
      <c r="F6" s="32"/>
      <c r="G6" s="32"/>
      <c r="H6" s="32"/>
      <c r="I6" s="32"/>
      <c r="J6" s="32"/>
      <c r="K6" s="32"/>
    </row>
    <row r="7" spans="1:12" x14ac:dyDescent="0.3">
      <c r="A7" s="20" t="s">
        <v>241</v>
      </c>
    </row>
    <row r="8" spans="1:12" x14ac:dyDescent="0.3">
      <c r="A8" s="20"/>
    </row>
    <row r="9" spans="1:12" x14ac:dyDescent="0.3">
      <c r="A9" s="1" t="s">
        <v>5</v>
      </c>
    </row>
    <row r="10" spans="1:12" x14ac:dyDescent="0.3">
      <c r="A10" s="51" t="s">
        <v>137</v>
      </c>
    </row>
    <row r="11" spans="1:12" x14ac:dyDescent="0.3">
      <c r="A11" t="s">
        <v>242</v>
      </c>
    </row>
    <row r="12" spans="1:12" x14ac:dyDescent="0.3">
      <c r="A12" s="51" t="s">
        <v>243</v>
      </c>
    </row>
    <row r="13" spans="1:12" x14ac:dyDescent="0.3">
      <c r="A13" s="17" t="s">
        <v>244</v>
      </c>
    </row>
    <row r="14" spans="1:12" x14ac:dyDescent="0.3">
      <c r="A14" s="17"/>
    </row>
    <row r="15" spans="1:12" x14ac:dyDescent="0.3">
      <c r="A15" s="17"/>
    </row>
    <row r="16" spans="1:12" x14ac:dyDescent="0.3">
      <c r="A16" t="s">
        <v>245</v>
      </c>
      <c r="B16" t="s">
        <v>246</v>
      </c>
    </row>
    <row r="17" spans="1:5" x14ac:dyDescent="0.3">
      <c r="A17" t="s">
        <v>247</v>
      </c>
      <c r="B17" t="s">
        <v>248</v>
      </c>
    </row>
    <row r="20" spans="1:5" x14ac:dyDescent="0.3">
      <c r="A20" s="61" t="s">
        <v>249</v>
      </c>
      <c r="B20" s="120" t="s">
        <v>250</v>
      </c>
      <c r="C20" s="120"/>
      <c r="D20" s="120"/>
      <c r="E20" s="120"/>
    </row>
    <row r="21" spans="1:5" x14ac:dyDescent="0.3">
      <c r="A21" s="60">
        <v>1</v>
      </c>
      <c r="B21" s="119" t="s">
        <v>251</v>
      </c>
      <c r="C21" s="119"/>
      <c r="D21" s="119"/>
      <c r="E21" s="119"/>
    </row>
    <row r="22" spans="1:5" x14ac:dyDescent="0.3">
      <c r="A22" s="60">
        <v>2</v>
      </c>
      <c r="B22" s="119" t="s">
        <v>252</v>
      </c>
      <c r="C22" s="119"/>
      <c r="D22" s="119"/>
      <c r="E22" s="119"/>
    </row>
    <row r="23" spans="1:5" x14ac:dyDescent="0.3">
      <c r="A23" s="60">
        <v>11</v>
      </c>
      <c r="B23" s="119" t="s">
        <v>252</v>
      </c>
      <c r="C23" s="119"/>
      <c r="D23" s="119"/>
      <c r="E23" s="119"/>
    </row>
    <row r="24" spans="1:5" x14ac:dyDescent="0.3">
      <c r="A24" s="60">
        <v>12</v>
      </c>
      <c r="B24" s="119" t="s">
        <v>253</v>
      </c>
      <c r="C24" s="119"/>
      <c r="D24" s="119"/>
      <c r="E24" s="119"/>
    </row>
    <row r="25" spans="1:5" x14ac:dyDescent="0.3">
      <c r="A25" s="60">
        <v>13</v>
      </c>
      <c r="B25" s="119" t="s">
        <v>254</v>
      </c>
      <c r="C25" s="119"/>
      <c r="D25" s="119"/>
      <c r="E25" s="119"/>
    </row>
    <row r="26" spans="1:5" x14ac:dyDescent="0.3">
      <c r="A26" s="60">
        <v>14</v>
      </c>
      <c r="B26" s="119" t="s">
        <v>255</v>
      </c>
      <c r="C26" s="119"/>
      <c r="D26" s="119"/>
      <c r="E26" s="119"/>
    </row>
    <row r="27" spans="1:5" x14ac:dyDescent="0.3">
      <c r="A27" s="60">
        <v>15</v>
      </c>
      <c r="B27" s="119" t="s">
        <v>256</v>
      </c>
      <c r="C27" s="119"/>
      <c r="D27" s="119"/>
      <c r="E27" s="119"/>
    </row>
    <row r="28" spans="1:5" x14ac:dyDescent="0.3">
      <c r="A28" s="60">
        <v>16</v>
      </c>
      <c r="B28" s="119" t="s">
        <v>257</v>
      </c>
      <c r="C28" s="119"/>
      <c r="D28" s="119"/>
      <c r="E28" s="119"/>
    </row>
    <row r="29" spans="1:5" x14ac:dyDescent="0.3">
      <c r="A29" s="60">
        <v>17</v>
      </c>
      <c r="B29" s="119" t="s">
        <v>258</v>
      </c>
      <c r="C29" s="119"/>
      <c r="D29" s="119"/>
      <c r="E29" s="119"/>
    </row>
    <row r="30" spans="1:5" x14ac:dyDescent="0.3">
      <c r="A30" s="60">
        <v>21</v>
      </c>
      <c r="B30" s="119" t="s">
        <v>259</v>
      </c>
      <c r="C30" s="119"/>
      <c r="D30" s="119"/>
      <c r="E30" s="119"/>
    </row>
    <row r="32" spans="1:5" ht="15" thickBot="1" x14ac:dyDescent="0.35"/>
    <row r="33" spans="1:13" x14ac:dyDescent="0.3">
      <c r="A33" s="14" t="s">
        <v>3</v>
      </c>
      <c r="B33" s="3"/>
      <c r="C33" s="3"/>
      <c r="D33" s="3"/>
      <c r="E33" s="3"/>
      <c r="F33" s="28"/>
      <c r="G33" s="3"/>
      <c r="H33" s="3"/>
      <c r="I33" s="3"/>
      <c r="J33" s="3"/>
      <c r="K33" s="3"/>
      <c r="L33" s="3"/>
      <c r="M33" s="4"/>
    </row>
    <row r="34" spans="1:13" x14ac:dyDescent="0.3">
      <c r="A34" s="15"/>
      <c r="B34" s="6"/>
      <c r="C34" s="7"/>
      <c r="D34" s="7"/>
      <c r="E34" s="7"/>
      <c r="F34" s="7"/>
      <c r="G34" s="7"/>
      <c r="H34" s="7"/>
      <c r="I34" s="7"/>
      <c r="J34" s="7"/>
      <c r="K34" s="7"/>
      <c r="L34" s="7"/>
      <c r="M34" s="8"/>
    </row>
    <row r="35" spans="1:13" x14ac:dyDescent="0.3">
      <c r="A35" s="21" t="s">
        <v>159</v>
      </c>
      <c r="B35" s="11"/>
      <c r="C35" s="11" t="s">
        <v>2</v>
      </c>
      <c r="D35" s="11" t="s">
        <v>0</v>
      </c>
      <c r="E35" s="11"/>
      <c r="F35" s="11"/>
      <c r="G35" s="11"/>
      <c r="H35" s="7"/>
      <c r="I35" s="7"/>
      <c r="J35" s="7"/>
      <c r="K35" s="7"/>
      <c r="L35" s="7"/>
      <c r="M35" s="8"/>
    </row>
    <row r="36" spans="1:13" x14ac:dyDescent="0.3">
      <c r="A36" s="54">
        <v>40913</v>
      </c>
      <c r="B36" s="7"/>
      <c r="C36" s="46" t="s">
        <v>261</v>
      </c>
      <c r="D36" s="46">
        <f>WEEKNUM(A36)</f>
        <v>2</v>
      </c>
      <c r="E36" s="50"/>
      <c r="F36" s="7"/>
      <c r="G36" s="50"/>
      <c r="H36" s="7"/>
      <c r="I36" s="7"/>
      <c r="J36" s="7"/>
      <c r="K36" s="7"/>
      <c r="L36" s="7"/>
      <c r="M36" s="8"/>
    </row>
    <row r="37" spans="1:13" x14ac:dyDescent="0.3">
      <c r="A37" s="54">
        <v>40917</v>
      </c>
      <c r="B37" s="7"/>
      <c r="C37" s="46" t="s">
        <v>262</v>
      </c>
      <c r="D37" s="46">
        <f>WEEKNUM(A37,1)</f>
        <v>3</v>
      </c>
      <c r="E37" s="50"/>
      <c r="F37" s="7"/>
      <c r="G37" s="50"/>
      <c r="H37" s="7"/>
      <c r="I37" s="7"/>
      <c r="J37" s="7"/>
      <c r="K37" s="7"/>
      <c r="L37" s="7"/>
      <c r="M37" s="8"/>
    </row>
    <row r="38" spans="1:13" x14ac:dyDescent="0.3">
      <c r="A38" s="54">
        <v>40932</v>
      </c>
      <c r="B38" s="7"/>
      <c r="C38" s="46" t="s">
        <v>260</v>
      </c>
      <c r="D38" s="46">
        <f>WEEKNUM(A38,1)</f>
        <v>5</v>
      </c>
      <c r="E38" s="50"/>
      <c r="F38" s="7"/>
      <c r="G38" s="50"/>
      <c r="H38" s="7"/>
      <c r="I38" s="7"/>
      <c r="J38" s="7"/>
      <c r="K38" s="7"/>
      <c r="L38" s="7"/>
      <c r="M38" s="8"/>
    </row>
    <row r="39" spans="1:13" x14ac:dyDescent="0.3">
      <c r="A39" s="54">
        <v>40939</v>
      </c>
      <c r="B39" s="7"/>
      <c r="C39" s="46" t="s">
        <v>263</v>
      </c>
      <c r="D39" s="46">
        <f>WEEKNUM(A39)</f>
        <v>6</v>
      </c>
      <c r="E39" s="46"/>
      <c r="F39" s="7"/>
      <c r="G39" s="46"/>
      <c r="H39" s="7"/>
      <c r="I39" s="7"/>
      <c r="J39" s="7"/>
      <c r="K39" s="7"/>
      <c r="L39" s="7"/>
      <c r="M39" s="8"/>
    </row>
    <row r="40" spans="1:13" ht="15" thickBot="1" x14ac:dyDescent="0.35">
      <c r="A40" s="115"/>
      <c r="B40" s="116"/>
      <c r="C40" s="9"/>
      <c r="D40" s="9"/>
      <c r="E40" s="18"/>
      <c r="F40" s="9"/>
      <c r="G40" s="9"/>
      <c r="H40" s="9"/>
      <c r="I40" s="9"/>
      <c r="J40" s="9"/>
      <c r="K40" s="9"/>
      <c r="L40" s="9"/>
      <c r="M40" s="10"/>
    </row>
    <row r="44" spans="1:13" x14ac:dyDescent="0.3">
      <c r="A44" s="65">
        <v>42562</v>
      </c>
      <c r="B44">
        <f>WEEKNUM(A44,2)</f>
        <v>28</v>
      </c>
    </row>
  </sheetData>
  <customSheetViews>
    <customSheetView guid="{A27D5E1E-B06B-4AE2-9D20-CB87A5C74206}" showGridLines="0">
      <selection activeCell="A39" sqref="A39"/>
      <pageMargins left="0.7" right="0.7" top="0.75" bottom="0.75" header="0.3" footer="0.3"/>
    </customSheetView>
  </customSheetViews>
  <mergeCells count="13">
    <mergeCell ref="B24:E24"/>
    <mergeCell ref="B25:E25"/>
    <mergeCell ref="B26:E26"/>
    <mergeCell ref="A1:L1"/>
    <mergeCell ref="B20:E20"/>
    <mergeCell ref="B21:E21"/>
    <mergeCell ref="B22:E22"/>
    <mergeCell ref="B23:E23"/>
    <mergeCell ref="B27:E27"/>
    <mergeCell ref="B28:E28"/>
    <mergeCell ref="B29:E29"/>
    <mergeCell ref="B30:E30"/>
    <mergeCell ref="A40:B4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N41"/>
  <sheetViews>
    <sheetView showGridLines="0" topLeftCell="A19" zoomScale="205" zoomScaleNormal="205" workbookViewId="0">
      <selection activeCell="C35" sqref="C35"/>
    </sheetView>
  </sheetViews>
  <sheetFormatPr defaultRowHeight="14.4" x14ac:dyDescent="0.3"/>
  <cols>
    <col min="1" max="1" width="16.44140625" bestFit="1" customWidth="1"/>
    <col min="2" max="2" width="13.44140625" bestFit="1" customWidth="1"/>
    <col min="3" max="3" width="26.88671875" customWidth="1"/>
    <col min="5" max="5" width="17.5546875" bestFit="1" customWidth="1"/>
    <col min="6" max="6" width="10.5546875" bestFit="1" customWidth="1"/>
    <col min="7" max="7" width="15.5546875" bestFit="1" customWidth="1"/>
    <col min="8" max="8" width="9.88671875" bestFit="1" customWidth="1"/>
    <col min="10" max="10" width="9.6640625" bestFit="1" customWidth="1"/>
    <col min="11" max="11" width="10.44140625" bestFit="1" customWidth="1"/>
  </cols>
  <sheetData>
    <row r="1" spans="1:14" x14ac:dyDescent="0.3">
      <c r="A1" s="114" t="s">
        <v>197</v>
      </c>
      <c r="B1" s="114"/>
      <c r="C1" s="114"/>
      <c r="D1" s="114"/>
      <c r="E1" s="114"/>
      <c r="F1" s="114"/>
      <c r="G1" s="114"/>
      <c r="H1" s="114"/>
      <c r="I1" s="114"/>
      <c r="J1" s="114"/>
      <c r="K1" s="114"/>
      <c r="L1" s="114"/>
      <c r="M1" s="114"/>
      <c r="N1" s="114"/>
    </row>
    <row r="3" spans="1:14" x14ac:dyDescent="0.3">
      <c r="A3" s="16" t="s">
        <v>198</v>
      </c>
    </row>
    <row r="5" spans="1:14" x14ac:dyDescent="0.3">
      <c r="A5" s="1" t="s">
        <v>4</v>
      </c>
      <c r="B5" s="12"/>
      <c r="C5" s="12"/>
      <c r="D5" s="12"/>
      <c r="E5" s="12"/>
      <c r="F5" s="12"/>
      <c r="G5" s="12"/>
      <c r="H5" s="12"/>
      <c r="I5" s="12"/>
      <c r="J5" s="12"/>
      <c r="K5" s="12"/>
      <c r="L5" s="12"/>
      <c r="M5" s="12"/>
      <c r="N5" s="12"/>
    </row>
    <row r="6" spans="1:14" x14ac:dyDescent="0.3">
      <c r="A6" s="1"/>
      <c r="B6" s="12"/>
      <c r="C6" s="12"/>
      <c r="D6" s="12"/>
      <c r="E6" s="12"/>
      <c r="F6" s="12"/>
      <c r="G6" s="12"/>
      <c r="H6" s="12"/>
      <c r="I6" s="12"/>
      <c r="J6" s="12"/>
      <c r="K6" s="12"/>
      <c r="L6" s="12"/>
      <c r="M6" s="12"/>
      <c r="N6" s="12"/>
    </row>
    <row r="7" spans="1:14" x14ac:dyDescent="0.3">
      <c r="A7" s="20" t="s">
        <v>199</v>
      </c>
    </row>
    <row r="8" spans="1:14" x14ac:dyDescent="0.3">
      <c r="A8" s="20"/>
    </row>
    <row r="9" spans="1:14" x14ac:dyDescent="0.3">
      <c r="A9" s="1" t="s">
        <v>5</v>
      </c>
    </row>
    <row r="10" spans="1:14" x14ac:dyDescent="0.3">
      <c r="A10" s="51" t="s">
        <v>200</v>
      </c>
    </row>
    <row r="11" spans="1:14" x14ac:dyDescent="0.3">
      <c r="A11" s="17" t="s">
        <v>201</v>
      </c>
    </row>
    <row r="12" spans="1:14" x14ac:dyDescent="0.3">
      <c r="A12" s="51" t="s">
        <v>202</v>
      </c>
    </row>
    <row r="13" spans="1:14" x14ac:dyDescent="0.3">
      <c r="A13" s="17" t="s">
        <v>203</v>
      </c>
    </row>
    <row r="14" spans="1:14" x14ac:dyDescent="0.3">
      <c r="A14" s="29" t="s">
        <v>204</v>
      </c>
    </row>
    <row r="15" spans="1:14" x14ac:dyDescent="0.3">
      <c r="A15" s="121" t="s">
        <v>205</v>
      </c>
      <c r="B15" s="121"/>
      <c r="C15" s="121"/>
      <c r="D15" s="121"/>
      <c r="E15" s="121"/>
      <c r="F15" s="121"/>
      <c r="G15" s="121"/>
      <c r="H15" s="121"/>
      <c r="I15" s="121"/>
      <c r="J15" s="121"/>
      <c r="K15" s="121"/>
      <c r="L15" s="121"/>
      <c r="M15" s="121"/>
      <c r="N15" s="121"/>
    </row>
    <row r="16" spans="1:14" x14ac:dyDescent="0.3">
      <c r="A16" s="121"/>
      <c r="B16" s="121"/>
      <c r="C16" s="121"/>
      <c r="D16" s="121"/>
      <c r="E16" s="121"/>
      <c r="F16" s="121"/>
      <c r="G16" s="121"/>
      <c r="H16" s="121"/>
      <c r="I16" s="121"/>
      <c r="J16" s="121"/>
      <c r="K16" s="121"/>
      <c r="L16" s="121"/>
      <c r="M16" s="121"/>
      <c r="N16" s="121"/>
    </row>
    <row r="17" spans="1:13" ht="15" thickBot="1" x14ac:dyDescent="0.35"/>
    <row r="18" spans="1:13" x14ac:dyDescent="0.3">
      <c r="A18" s="14" t="s">
        <v>3</v>
      </c>
      <c r="B18" s="3"/>
      <c r="C18" s="3"/>
      <c r="D18" s="3"/>
      <c r="E18" s="3"/>
      <c r="F18" s="28"/>
      <c r="G18" s="3"/>
      <c r="H18" s="3"/>
      <c r="I18" s="3"/>
      <c r="J18" s="3"/>
      <c r="K18" s="3"/>
      <c r="L18" s="3"/>
      <c r="M18" s="4"/>
    </row>
    <row r="19" spans="1:13" x14ac:dyDescent="0.3">
      <c r="A19" s="15"/>
      <c r="B19" s="6"/>
      <c r="C19" s="7"/>
      <c r="D19" s="7"/>
      <c r="E19" s="7"/>
      <c r="F19" s="7"/>
      <c r="G19" s="7"/>
      <c r="H19" s="7"/>
      <c r="I19" s="11" t="s">
        <v>208</v>
      </c>
      <c r="J19" s="7"/>
      <c r="K19" s="7"/>
      <c r="L19" s="7"/>
      <c r="M19" s="8"/>
    </row>
    <row r="20" spans="1:13" x14ac:dyDescent="0.3">
      <c r="A20" s="15" t="s">
        <v>206</v>
      </c>
      <c r="B20" s="11" t="s">
        <v>207</v>
      </c>
      <c r="C20" s="7"/>
      <c r="D20" s="11" t="s">
        <v>2</v>
      </c>
      <c r="E20" s="46"/>
      <c r="F20" s="11" t="s">
        <v>0</v>
      </c>
      <c r="G20" s="11"/>
      <c r="H20" s="7"/>
      <c r="I20" s="7" t="s">
        <v>209</v>
      </c>
      <c r="J20" s="7"/>
      <c r="K20" s="22">
        <v>40568</v>
      </c>
      <c r="L20" s="7"/>
      <c r="M20" s="8"/>
    </row>
    <row r="21" spans="1:13" x14ac:dyDescent="0.3">
      <c r="A21" s="56">
        <v>40548</v>
      </c>
      <c r="B21" s="22">
        <v>40681</v>
      </c>
      <c r="C21" s="7"/>
      <c r="D21" s="57" t="s">
        <v>211</v>
      </c>
      <c r="E21" s="46"/>
      <c r="F21" s="57">
        <f>NETWORKDAYS(A21,B21)</f>
        <v>96</v>
      </c>
      <c r="G21" s="50"/>
      <c r="H21" s="7"/>
      <c r="I21" s="7"/>
      <c r="J21" s="7"/>
      <c r="K21" s="7"/>
      <c r="L21" s="7"/>
      <c r="M21" s="8"/>
    </row>
    <row r="22" spans="1:13" x14ac:dyDescent="0.3">
      <c r="A22" s="56">
        <v>40549</v>
      </c>
      <c r="B22" s="22">
        <v>40670</v>
      </c>
      <c r="C22" s="7"/>
      <c r="D22" s="57" t="s">
        <v>212</v>
      </c>
      <c r="E22" s="46"/>
      <c r="F22" s="57">
        <f>NETWORKDAYS(A22,B22,K20)</f>
        <v>87</v>
      </c>
      <c r="G22" s="50"/>
      <c r="H22" s="7"/>
      <c r="I22" s="7" t="s">
        <v>210</v>
      </c>
      <c r="J22" s="7"/>
      <c r="K22" s="22">
        <v>40841</v>
      </c>
      <c r="L22" s="7"/>
      <c r="M22" s="8"/>
    </row>
    <row r="23" spans="1:13" x14ac:dyDescent="0.3">
      <c r="A23" s="56">
        <v>40551</v>
      </c>
      <c r="B23" s="22">
        <v>40856</v>
      </c>
      <c r="C23" s="7"/>
      <c r="D23" s="57" t="s">
        <v>213</v>
      </c>
      <c r="E23" s="46"/>
      <c r="F23" s="57">
        <f>NETWORKDAYS(A23,B23,K22:K23)</f>
        <v>216</v>
      </c>
      <c r="G23" s="50"/>
      <c r="H23" s="7"/>
      <c r="I23" s="7"/>
      <c r="J23" s="7"/>
      <c r="K23" s="22">
        <v>40842</v>
      </c>
      <c r="L23" s="7"/>
      <c r="M23" s="8"/>
    </row>
    <row r="24" spans="1:13" x14ac:dyDescent="0.3">
      <c r="A24" s="55"/>
      <c r="B24" s="7"/>
      <c r="C24" s="7"/>
      <c r="D24" s="7"/>
      <c r="E24" s="46"/>
      <c r="F24" s="46"/>
      <c r="G24" s="46"/>
      <c r="H24" s="7"/>
      <c r="I24" s="7"/>
      <c r="J24" s="7"/>
      <c r="K24" s="7"/>
      <c r="L24" s="7"/>
      <c r="M24" s="8"/>
    </row>
    <row r="25" spans="1:13" ht="15" thickBot="1" x14ac:dyDescent="0.35">
      <c r="A25" s="115"/>
      <c r="B25" s="116"/>
      <c r="C25" s="9"/>
      <c r="D25" s="9"/>
      <c r="E25" s="18"/>
      <c r="F25" s="9"/>
      <c r="G25" s="9"/>
      <c r="H25" s="9"/>
      <c r="I25" s="9"/>
      <c r="J25" s="9"/>
      <c r="K25" s="9"/>
      <c r="L25" s="9"/>
      <c r="M25" s="10"/>
    </row>
    <row r="29" spans="1:13" x14ac:dyDescent="0.3">
      <c r="A29" s="65">
        <f>B29-14</f>
        <v>42548</v>
      </c>
      <c r="B29" s="65">
        <v>42562</v>
      </c>
      <c r="C29">
        <f>NETWORKDAYS(A29,B29,F31:F32)</f>
        <v>8</v>
      </c>
    </row>
    <row r="30" spans="1:13" x14ac:dyDescent="0.3">
      <c r="C30">
        <f>NETWORKDAYS.INTL(A29,B29,11,F31:F32)</f>
        <v>10</v>
      </c>
    </row>
    <row r="31" spans="1:13" x14ac:dyDescent="0.3">
      <c r="F31" s="65">
        <f>A29+1</f>
        <v>42549</v>
      </c>
      <c r="H31" s="62"/>
      <c r="J31" s="62"/>
    </row>
    <row r="32" spans="1:13" x14ac:dyDescent="0.3">
      <c r="A32" s="62">
        <v>41069</v>
      </c>
      <c r="B32" s="62">
        <v>41085</v>
      </c>
      <c r="F32" s="65">
        <f>F31+1</f>
        <v>42550</v>
      </c>
      <c r="H32" s="62">
        <f>A29+1</f>
        <v>42549</v>
      </c>
      <c r="J32" s="62"/>
    </row>
    <row r="33" spans="1:10" x14ac:dyDescent="0.3">
      <c r="A33" s="62">
        <v>40549</v>
      </c>
      <c r="B33" s="62">
        <v>40670</v>
      </c>
      <c r="H33" s="62">
        <f>H32+1</f>
        <v>42550</v>
      </c>
      <c r="J33" s="62"/>
    </row>
    <row r="34" spans="1:10" x14ac:dyDescent="0.3">
      <c r="A34" s="62">
        <v>40551</v>
      </c>
      <c r="B34" s="62">
        <v>40856</v>
      </c>
      <c r="G34" s="65"/>
    </row>
    <row r="35" spans="1:10" x14ac:dyDescent="0.3">
      <c r="G35" s="79"/>
    </row>
    <row r="37" spans="1:10" x14ac:dyDescent="0.3">
      <c r="A37" s="65">
        <f>B37-14</f>
        <v>42499</v>
      </c>
      <c r="B37" s="65">
        <v>42513</v>
      </c>
      <c r="C37">
        <f>NETWORKDAYS.INTL(A37,B37,11,F31:F32)</f>
        <v>12</v>
      </c>
    </row>
    <row r="41" spans="1:10" x14ac:dyDescent="0.3">
      <c r="B41" s="62">
        <f>EDATE(B37,-2)</f>
        <v>42452</v>
      </c>
    </row>
  </sheetData>
  <customSheetViews>
    <customSheetView guid="{A27D5E1E-B06B-4AE2-9D20-CB87A5C74206}" showGridLines="0">
      <selection activeCell="A48" sqref="A48"/>
      <pageMargins left="0.7" right="0.7" top="0.75" bottom="0.75" header="0.3" footer="0.3"/>
    </customSheetView>
  </customSheetViews>
  <mergeCells count="3">
    <mergeCell ref="A1:N1"/>
    <mergeCell ref="A15:N16"/>
    <mergeCell ref="A25:B2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S248"/>
  <sheetViews>
    <sheetView showGridLines="0" topLeftCell="D1" zoomScale="160" zoomScaleNormal="160" workbookViewId="0">
      <selection activeCell="J53" sqref="J53"/>
    </sheetView>
  </sheetViews>
  <sheetFormatPr defaultRowHeight="14.4" x14ac:dyDescent="0.3"/>
  <cols>
    <col min="1" max="1" width="16.44140625" bestFit="1" customWidth="1"/>
    <col min="2" max="2" width="18.44140625" bestFit="1" customWidth="1"/>
    <col min="3" max="3" width="26.88671875" customWidth="1"/>
    <col min="5" max="5" width="17.5546875" bestFit="1" customWidth="1"/>
    <col min="7" max="7" width="12" bestFit="1" customWidth="1"/>
    <col min="8" max="8" width="15.6640625" bestFit="1" customWidth="1"/>
    <col min="9" max="9" width="14.6640625" customWidth="1"/>
  </cols>
  <sheetData>
    <row r="1" spans="1:19" ht="15.6" x14ac:dyDescent="0.3">
      <c r="A1" s="122" t="s">
        <v>216</v>
      </c>
      <c r="B1" s="122"/>
      <c r="C1" s="122"/>
      <c r="D1" s="122"/>
      <c r="E1" s="122"/>
      <c r="F1" s="122"/>
      <c r="G1" s="122"/>
      <c r="H1" s="122"/>
      <c r="I1" s="122"/>
      <c r="J1" s="122"/>
      <c r="R1" t="s">
        <v>6</v>
      </c>
      <c r="S1" t="s">
        <v>12</v>
      </c>
    </row>
    <row r="2" spans="1:19" x14ac:dyDescent="0.3">
      <c r="R2" t="s">
        <v>8</v>
      </c>
      <c r="S2" t="s">
        <v>274</v>
      </c>
    </row>
    <row r="3" spans="1:19" x14ac:dyDescent="0.3">
      <c r="A3" s="1" t="s">
        <v>238</v>
      </c>
    </row>
    <row r="5" spans="1:19" x14ac:dyDescent="0.3">
      <c r="A5" t="s">
        <v>228</v>
      </c>
    </row>
    <row r="7" spans="1:19" x14ac:dyDescent="0.3">
      <c r="A7" s="1" t="s">
        <v>4</v>
      </c>
    </row>
    <row r="8" spans="1:19" x14ac:dyDescent="0.3">
      <c r="A8" s="1"/>
    </row>
    <row r="9" spans="1:19" x14ac:dyDescent="0.3">
      <c r="A9" s="20" t="s">
        <v>229</v>
      </c>
    </row>
    <row r="10" spans="1:19" x14ac:dyDescent="0.3">
      <c r="A10" s="20"/>
    </row>
    <row r="11" spans="1:19" x14ac:dyDescent="0.3">
      <c r="A11" s="1" t="s">
        <v>5</v>
      </c>
    </row>
    <row r="13" spans="1:19" x14ac:dyDescent="0.3">
      <c r="A13" t="s">
        <v>230</v>
      </c>
    </row>
    <row r="14" spans="1:19" ht="15" thickBot="1" x14ac:dyDescent="0.35">
      <c r="A14" s="30"/>
    </row>
    <row r="15" spans="1:19" x14ac:dyDescent="0.3">
      <c r="A15" s="14" t="s">
        <v>3</v>
      </c>
      <c r="B15" s="3"/>
      <c r="C15" s="3"/>
      <c r="D15" s="3"/>
      <c r="E15" s="3"/>
      <c r="F15" s="28"/>
      <c r="G15" s="3"/>
      <c r="H15" s="3"/>
      <c r="I15" s="3"/>
      <c r="J15" s="3"/>
      <c r="K15" s="3"/>
      <c r="L15" s="3"/>
      <c r="M15" s="4"/>
    </row>
    <row r="16" spans="1:19" x14ac:dyDescent="0.3">
      <c r="A16" s="15"/>
      <c r="B16" s="6"/>
      <c r="C16" s="7"/>
      <c r="D16" s="7"/>
      <c r="E16" s="7"/>
      <c r="F16" s="7"/>
      <c r="G16" s="7"/>
      <c r="H16" s="7"/>
      <c r="I16" s="11"/>
      <c r="J16" s="7"/>
      <c r="K16" s="7"/>
      <c r="L16" s="7"/>
      <c r="M16" s="8"/>
    </row>
    <row r="17" spans="1:13" x14ac:dyDescent="0.3">
      <c r="A17" s="15" t="s">
        <v>231</v>
      </c>
      <c r="B17" s="11" t="s">
        <v>232</v>
      </c>
      <c r="C17" s="7"/>
      <c r="D17" s="11"/>
      <c r="E17" s="46"/>
      <c r="F17" s="11"/>
      <c r="G17" s="11"/>
      <c r="H17" s="7"/>
      <c r="I17" s="7"/>
      <c r="J17" s="7"/>
      <c r="K17" s="22"/>
      <c r="L17" s="7"/>
      <c r="M17" s="8"/>
    </row>
    <row r="18" spans="1:13" x14ac:dyDescent="0.3">
      <c r="A18" s="56"/>
      <c r="B18" s="22"/>
      <c r="C18" s="7"/>
      <c r="D18" s="57"/>
      <c r="E18" s="46"/>
      <c r="F18" s="57"/>
      <c r="G18" s="50"/>
      <c r="H18" s="7"/>
      <c r="I18" s="7"/>
      <c r="J18" s="7"/>
      <c r="K18" s="7"/>
      <c r="L18" s="7"/>
      <c r="M18" s="8"/>
    </row>
    <row r="19" spans="1:13" x14ac:dyDescent="0.3">
      <c r="A19" s="59" t="s">
        <v>233</v>
      </c>
      <c r="B19" s="22">
        <f ca="1">TODAY()</f>
        <v>44727</v>
      </c>
      <c r="C19" s="7"/>
      <c r="D19" s="57"/>
      <c r="E19" s="46"/>
      <c r="F19" s="57"/>
      <c r="G19" s="50"/>
      <c r="H19" s="7"/>
      <c r="I19" s="7"/>
      <c r="J19" s="7"/>
      <c r="K19" s="22"/>
      <c r="L19" s="7"/>
      <c r="M19" s="8"/>
    </row>
    <row r="20" spans="1:13" ht="15" thickBot="1" x14ac:dyDescent="0.35">
      <c r="A20" s="115"/>
      <c r="B20" s="116"/>
      <c r="C20" s="9"/>
      <c r="D20" s="9"/>
      <c r="E20" s="18"/>
      <c r="F20" s="9"/>
      <c r="G20" s="9"/>
      <c r="H20" s="9"/>
      <c r="I20" s="9"/>
      <c r="J20" s="9"/>
      <c r="K20" s="9"/>
      <c r="L20" s="9"/>
      <c r="M20" s="10"/>
    </row>
    <row r="23" spans="1:13" x14ac:dyDescent="0.3">
      <c r="A23" s="1" t="s">
        <v>237</v>
      </c>
    </row>
    <row r="25" spans="1:13" x14ac:dyDescent="0.3">
      <c r="A25" t="s">
        <v>239</v>
      </c>
    </row>
    <row r="27" spans="1:13" x14ac:dyDescent="0.3">
      <c r="A27" s="1" t="s">
        <v>4</v>
      </c>
    </row>
    <row r="28" spans="1:13" x14ac:dyDescent="0.3">
      <c r="A28" s="1"/>
    </row>
    <row r="29" spans="1:13" x14ac:dyDescent="0.3">
      <c r="A29" s="20" t="s">
        <v>234</v>
      </c>
    </row>
    <row r="30" spans="1:13" x14ac:dyDescent="0.3">
      <c r="A30" s="20"/>
    </row>
    <row r="31" spans="1:13" x14ac:dyDescent="0.3">
      <c r="A31" s="1" t="s">
        <v>5</v>
      </c>
    </row>
    <row r="33" spans="1:13" x14ac:dyDescent="0.3">
      <c r="A33" t="s">
        <v>235</v>
      </c>
    </row>
    <row r="34" spans="1:13" ht="15" thickBot="1" x14ac:dyDescent="0.35">
      <c r="A34" s="30"/>
    </row>
    <row r="35" spans="1:13" x14ac:dyDescent="0.3">
      <c r="A35" s="14" t="s">
        <v>3</v>
      </c>
      <c r="B35" s="3"/>
      <c r="C35" s="3"/>
      <c r="D35" s="3"/>
      <c r="E35" s="3"/>
      <c r="F35" s="28"/>
      <c r="G35" s="3"/>
      <c r="H35" s="3"/>
      <c r="I35" s="3"/>
      <c r="J35" s="3"/>
      <c r="K35" s="3"/>
      <c r="L35" s="3"/>
      <c r="M35" s="4"/>
    </row>
    <row r="36" spans="1:13" x14ac:dyDescent="0.3">
      <c r="A36" s="15"/>
      <c r="B36" s="6"/>
      <c r="C36" s="7"/>
      <c r="D36" s="7"/>
      <c r="E36" s="7"/>
      <c r="F36" s="7"/>
      <c r="G36" s="7"/>
      <c r="H36" s="7"/>
      <c r="I36" s="11"/>
      <c r="J36" s="7"/>
      <c r="K36" s="7"/>
      <c r="L36" s="7"/>
      <c r="M36" s="8"/>
    </row>
    <row r="37" spans="1:13" x14ac:dyDescent="0.3">
      <c r="A37" s="15" t="s">
        <v>231</v>
      </c>
      <c r="B37" s="11" t="s">
        <v>232</v>
      </c>
      <c r="C37" s="7"/>
      <c r="D37" s="11"/>
      <c r="E37" s="46"/>
      <c r="F37" s="11"/>
      <c r="G37" s="11"/>
      <c r="H37" s="7"/>
      <c r="I37" s="7"/>
      <c r="J37" s="7"/>
      <c r="K37" s="22"/>
      <c r="L37" s="7"/>
      <c r="M37" s="8"/>
    </row>
    <row r="38" spans="1:13" x14ac:dyDescent="0.3">
      <c r="A38" s="56"/>
      <c r="B38" s="22"/>
      <c r="C38" s="7"/>
      <c r="D38" s="57"/>
      <c r="E38" s="46"/>
      <c r="F38" s="57"/>
      <c r="G38" s="50"/>
      <c r="H38" s="7"/>
      <c r="I38" s="7"/>
      <c r="J38" s="7"/>
      <c r="K38" s="7"/>
      <c r="L38" s="7"/>
      <c r="M38" s="8"/>
    </row>
    <row r="39" spans="1:13" x14ac:dyDescent="0.3">
      <c r="A39" s="59" t="s">
        <v>236</v>
      </c>
      <c r="B39" s="49">
        <f ca="1">NOW()</f>
        <v>44727.445171527776</v>
      </c>
      <c r="C39" s="7"/>
      <c r="D39" s="57"/>
      <c r="E39" s="46"/>
      <c r="F39" s="57"/>
      <c r="G39" s="50"/>
      <c r="H39" s="7"/>
      <c r="I39" s="7"/>
      <c r="J39" s="7"/>
      <c r="K39" s="22"/>
      <c r="L39" s="7"/>
      <c r="M39" s="8"/>
    </row>
    <row r="40" spans="1:13" ht="15" thickBot="1" x14ac:dyDescent="0.35">
      <c r="A40" s="115"/>
      <c r="B40" s="116"/>
      <c r="C40" s="9"/>
      <c r="D40" s="9"/>
      <c r="E40" s="18"/>
      <c r="F40" s="9"/>
      <c r="G40" s="9"/>
      <c r="H40" s="9"/>
      <c r="I40" s="9"/>
      <c r="J40" s="9"/>
      <c r="K40" s="9"/>
      <c r="L40" s="9"/>
      <c r="M40" s="10"/>
    </row>
    <row r="46" spans="1:13" x14ac:dyDescent="0.3">
      <c r="E46" s="65">
        <f ca="1">TODAY()</f>
        <v>44727</v>
      </c>
      <c r="H46" s="79">
        <f ca="1">NOW()</f>
        <v>44727.445171527776</v>
      </c>
    </row>
    <row r="47" spans="1:13" x14ac:dyDescent="0.3">
      <c r="E47" s="65"/>
    </row>
    <row r="48" spans="1:13" x14ac:dyDescent="0.3">
      <c r="C48" s="65">
        <f ca="1">TODAY()</f>
        <v>44727</v>
      </c>
      <c r="E48" s="79"/>
    </row>
    <row r="49" spans="1:3" x14ac:dyDescent="0.3">
      <c r="C49" s="79">
        <f ca="1">NOW()</f>
        <v>44727.445171527776</v>
      </c>
    </row>
    <row r="58" spans="1:3" ht="15.6" x14ac:dyDescent="0.3">
      <c r="A58" s="13"/>
    </row>
    <row r="62" spans="1:3" x14ac:dyDescent="0.3">
      <c r="A62" s="12"/>
    </row>
    <row r="80" spans="1:1" ht="15.6" x14ac:dyDescent="0.3">
      <c r="A80" s="13"/>
    </row>
    <row r="92" spans="1:1" ht="15.6" x14ac:dyDescent="0.3">
      <c r="A92" s="13"/>
    </row>
    <row r="147" spans="1:1" ht="15.6" x14ac:dyDescent="0.3">
      <c r="A147" s="13"/>
    </row>
    <row r="196" spans="1:9" x14ac:dyDescent="0.3">
      <c r="A196" s="123"/>
      <c r="B196" s="123"/>
      <c r="C196" s="123"/>
      <c r="D196" s="123"/>
      <c r="E196" s="123"/>
      <c r="F196" s="123"/>
      <c r="G196" s="123"/>
      <c r="H196" s="123"/>
      <c r="I196" s="123"/>
    </row>
    <row r="197" spans="1:9" x14ac:dyDescent="0.3">
      <c r="A197" s="123"/>
      <c r="B197" s="123"/>
      <c r="C197" s="123"/>
      <c r="D197" s="123"/>
      <c r="E197" s="123"/>
      <c r="F197" s="123"/>
      <c r="G197" s="123"/>
      <c r="H197" s="123"/>
      <c r="I197" s="123"/>
    </row>
    <row r="198" spans="1:9" x14ac:dyDescent="0.3">
      <c r="A198" s="123"/>
      <c r="B198" s="123"/>
      <c r="C198" s="123"/>
      <c r="D198" s="123"/>
      <c r="E198" s="123"/>
      <c r="F198" s="123"/>
      <c r="G198" s="123"/>
      <c r="H198" s="123"/>
      <c r="I198" s="123"/>
    </row>
    <row r="199" spans="1:9" x14ac:dyDescent="0.3">
      <c r="A199" s="123"/>
      <c r="B199" s="123"/>
      <c r="C199" s="123"/>
      <c r="D199" s="123"/>
      <c r="E199" s="123"/>
      <c r="F199" s="123"/>
      <c r="G199" s="123"/>
      <c r="H199" s="123"/>
      <c r="I199" s="123"/>
    </row>
    <row r="223" spans="1:1" x14ac:dyDescent="0.3">
      <c r="A223" s="1"/>
    </row>
    <row r="245" spans="1:9" ht="15" customHeight="1" x14ac:dyDescent="0.3">
      <c r="A245" s="124"/>
      <c r="B245" s="124"/>
      <c r="C245" s="124"/>
      <c r="D245" s="124"/>
      <c r="E245" s="124"/>
      <c r="F245" s="124"/>
      <c r="G245" s="124"/>
      <c r="H245" s="124"/>
      <c r="I245" s="124"/>
    </row>
    <row r="246" spans="1:9" x14ac:dyDescent="0.3">
      <c r="A246" s="124"/>
      <c r="B246" s="124"/>
      <c r="C246" s="124"/>
      <c r="D246" s="124"/>
      <c r="E246" s="124"/>
      <c r="F246" s="124"/>
      <c r="G246" s="124"/>
      <c r="H246" s="124"/>
      <c r="I246" s="124"/>
    </row>
    <row r="247" spans="1:9" x14ac:dyDescent="0.3">
      <c r="A247" s="124"/>
      <c r="B247" s="124"/>
      <c r="C247" s="124"/>
      <c r="D247" s="124"/>
      <c r="E247" s="124"/>
      <c r="F247" s="124"/>
      <c r="G247" s="124"/>
      <c r="H247" s="124"/>
      <c r="I247" s="124"/>
    </row>
    <row r="248" spans="1:9" x14ac:dyDescent="0.3">
      <c r="A248" s="124"/>
      <c r="B248" s="124"/>
      <c r="C248" s="124"/>
      <c r="D248" s="124"/>
      <c r="E248" s="124"/>
      <c r="F248" s="124"/>
      <c r="G248" s="124"/>
      <c r="H248" s="124"/>
      <c r="I248" s="124"/>
    </row>
  </sheetData>
  <sortState xmlns:xlrd2="http://schemas.microsoft.com/office/spreadsheetml/2017/richdata2" ref="A278:B283">
    <sortCondition ref="B278"/>
  </sortState>
  <customSheetViews>
    <customSheetView guid="{A27D5E1E-B06B-4AE2-9D20-CB87A5C74206}" scale="130" showGridLines="0" topLeftCell="D1">
      <selection activeCell="H186" sqref="H186:M187"/>
      <pageMargins left="0.7" right="0.7" top="0.75" bottom="0.75" header="0.3" footer="0.3"/>
    </customSheetView>
  </customSheetViews>
  <mergeCells count="5">
    <mergeCell ref="A1:J1"/>
    <mergeCell ref="A196:I199"/>
    <mergeCell ref="A245:I248"/>
    <mergeCell ref="A20:B20"/>
    <mergeCell ref="A40:B40"/>
  </mergeCells>
  <dataValidations disablePrompts="1" count="6">
    <dataValidation type="list" errorStyle="warning" allowBlank="1" showInputMessage="1" showErrorMessage="1" errorTitle="Select Item" error="Please select the correct item_x000a__x000a_" promptTitle="sds" prompt="dasdas" sqref="B271:B288" xr:uid="{00000000-0002-0000-0900-000000000000}">
      <formula1>$A$266:$A$268</formula1>
    </dataValidation>
    <dataValidation type="list" allowBlank="1" showInputMessage="1" showErrorMessage="1" sqref="C271:C288" xr:uid="{00000000-0002-0000-0900-000001000000}">
      <formula1>PolStatus</formula1>
    </dataValidation>
    <dataValidation type="list" allowBlank="1" showInputMessage="1" showErrorMessage="1" sqref="D271:D288" xr:uid="{00000000-0002-0000-0900-000002000000}">
      <formula1>List2</formula1>
    </dataValidation>
    <dataValidation type="whole" allowBlank="1" showInputMessage="1" showErrorMessage="1" sqref="F270:F284" xr:uid="{00000000-0002-0000-0900-000003000000}">
      <formula1>1</formula1>
      <formula2>100</formula2>
    </dataValidation>
    <dataValidation type="textLength" operator="equal" allowBlank="1" showInputMessage="1" showErrorMessage="1" sqref="G270:G285" xr:uid="{00000000-0002-0000-0900-000004000000}">
      <formula1>10</formula1>
    </dataValidation>
    <dataValidation type="custom" allowBlank="1" showInputMessage="1" showErrorMessage="1" sqref="H270:H286" xr:uid="{00000000-0002-0000-0900-000005000000}">
      <formula1>COUNTIF($H$270:$H$286,H270)=1</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6C9E6-A5D6-4A27-8B2F-B8623B3961AC}">
  <dimension ref="A1:AO279"/>
  <sheetViews>
    <sheetView showGridLines="0" topLeftCell="O1" zoomScale="145" zoomScaleNormal="145" workbookViewId="0">
      <selection activeCell="V6" sqref="V6:V7"/>
    </sheetView>
  </sheetViews>
  <sheetFormatPr defaultRowHeight="14.4" x14ac:dyDescent="0.3"/>
  <cols>
    <col min="1" max="1" width="16.44140625" bestFit="1" customWidth="1"/>
    <col min="2" max="2" width="14.5546875" bestFit="1" customWidth="1"/>
    <col min="3" max="3" width="26.88671875" customWidth="1"/>
    <col min="4" max="4" width="11.6640625" bestFit="1" customWidth="1"/>
    <col min="5" max="5" width="17.5546875" bestFit="1" customWidth="1"/>
    <col min="6" max="6" width="11.6640625" bestFit="1" customWidth="1"/>
    <col min="7" max="7" width="12" bestFit="1" customWidth="1"/>
    <col min="8" max="8" width="12.88671875" customWidth="1"/>
    <col min="9" max="9" width="14.6640625" customWidth="1"/>
    <col min="10" max="10" width="11.33203125" bestFit="1" customWidth="1"/>
    <col min="21" max="21" width="8.88671875" customWidth="1"/>
    <col min="22" max="22" width="14.109375" customWidth="1"/>
    <col min="23" max="24" width="8.88671875" customWidth="1"/>
    <col min="28" max="28" width="11.33203125" customWidth="1"/>
    <col min="29" max="29" width="11.6640625" bestFit="1" customWidth="1"/>
    <col min="35" max="38" width="16.6640625" customWidth="1"/>
    <col min="39" max="39" width="16.33203125" customWidth="1"/>
    <col min="40" max="40" width="11.33203125" customWidth="1"/>
    <col min="41" max="41" width="12.44140625" customWidth="1"/>
  </cols>
  <sheetData>
    <row r="1" spans="1:41" ht="15.6" x14ac:dyDescent="0.3">
      <c r="A1" s="122" t="s">
        <v>399</v>
      </c>
      <c r="B1" s="122"/>
      <c r="C1" s="122"/>
      <c r="D1" s="122"/>
      <c r="E1" s="122"/>
      <c r="F1" s="122"/>
      <c r="G1" s="122"/>
      <c r="H1" s="122"/>
      <c r="I1" s="122"/>
      <c r="J1" s="122"/>
      <c r="K1" s="122"/>
      <c r="Q1" t="s">
        <v>398</v>
      </c>
      <c r="U1" s="86" t="s">
        <v>397</v>
      </c>
      <c r="V1" s="86" t="s">
        <v>346</v>
      </c>
      <c r="X1" s="1" t="s">
        <v>396</v>
      </c>
      <c r="AB1" t="s">
        <v>395</v>
      </c>
      <c r="AC1" t="s">
        <v>418</v>
      </c>
      <c r="AD1" t="s">
        <v>419</v>
      </c>
      <c r="AF1" t="s">
        <v>418</v>
      </c>
      <c r="AI1" t="s">
        <v>412</v>
      </c>
      <c r="AJ1" t="s">
        <v>414</v>
      </c>
      <c r="AK1" t="s">
        <v>415</v>
      </c>
      <c r="AL1" t="s">
        <v>416</v>
      </c>
      <c r="AM1" t="s">
        <v>417</v>
      </c>
      <c r="AN1" t="s">
        <v>418</v>
      </c>
      <c r="AO1" t="s">
        <v>419</v>
      </c>
    </row>
    <row r="2" spans="1:41" x14ac:dyDescent="0.3">
      <c r="Q2" t="s">
        <v>342</v>
      </c>
      <c r="U2" s="70">
        <v>19220</v>
      </c>
      <c r="V2" s="70" t="s">
        <v>342</v>
      </c>
      <c r="X2" t="s">
        <v>393</v>
      </c>
      <c r="AB2" t="s">
        <v>393</v>
      </c>
      <c r="AC2" t="s">
        <v>420</v>
      </c>
      <c r="AD2" t="s">
        <v>421</v>
      </c>
      <c r="AF2" t="s">
        <v>420</v>
      </c>
      <c r="AI2" s="70">
        <v>101</v>
      </c>
      <c r="AJ2" s="70"/>
      <c r="AK2" s="109"/>
      <c r="AL2" s="70">
        <v>23000</v>
      </c>
      <c r="AM2" s="70">
        <v>9999999999</v>
      </c>
      <c r="AN2" s="70" t="s">
        <v>420</v>
      </c>
      <c r="AO2" s="70" t="s">
        <v>421</v>
      </c>
    </row>
    <row r="3" spans="1:41" x14ac:dyDescent="0.3">
      <c r="A3" t="s">
        <v>394</v>
      </c>
      <c r="Q3" t="s">
        <v>343</v>
      </c>
      <c r="U3" s="70">
        <v>15178</v>
      </c>
      <c r="V3" s="70" t="s">
        <v>343</v>
      </c>
      <c r="X3" t="s">
        <v>390</v>
      </c>
      <c r="AB3" t="s">
        <v>390</v>
      </c>
      <c r="AC3" t="s">
        <v>420</v>
      </c>
      <c r="AD3" t="s">
        <v>422</v>
      </c>
      <c r="AF3" t="s">
        <v>424</v>
      </c>
      <c r="AI3" s="70"/>
      <c r="AJ3" s="70"/>
      <c r="AK3" s="70"/>
      <c r="AL3" s="70"/>
      <c r="AM3" s="70"/>
      <c r="AN3" s="70" t="s">
        <v>424</v>
      </c>
      <c r="AO3" s="70" t="s">
        <v>425</v>
      </c>
    </row>
    <row r="4" spans="1:41" x14ac:dyDescent="0.3">
      <c r="U4" s="70">
        <v>18548</v>
      </c>
      <c r="V4" s="70" t="s">
        <v>342</v>
      </c>
      <c r="X4" t="s">
        <v>352</v>
      </c>
      <c r="AB4" t="s">
        <v>393</v>
      </c>
      <c r="AC4" t="s">
        <v>420</v>
      </c>
      <c r="AD4" t="s">
        <v>423</v>
      </c>
      <c r="AI4" s="70"/>
      <c r="AJ4" s="70"/>
      <c r="AK4" s="70"/>
      <c r="AL4" s="70"/>
      <c r="AM4" s="70"/>
      <c r="AN4" s="70" t="s">
        <v>420</v>
      </c>
      <c r="AO4" s="70" t="s">
        <v>421</v>
      </c>
    </row>
    <row r="5" spans="1:41" x14ac:dyDescent="0.3">
      <c r="A5" t="s">
        <v>392</v>
      </c>
      <c r="U5" s="70">
        <v>19185</v>
      </c>
      <c r="V5" s="70" t="s">
        <v>342</v>
      </c>
      <c r="X5" t="s">
        <v>391</v>
      </c>
      <c r="AB5" t="s">
        <v>393</v>
      </c>
      <c r="AC5" t="s">
        <v>424</v>
      </c>
      <c r="AD5" t="s">
        <v>425</v>
      </c>
      <c r="AI5" s="70"/>
      <c r="AJ5" s="70"/>
      <c r="AK5" s="70"/>
      <c r="AL5" s="70"/>
      <c r="AM5" s="70"/>
      <c r="AN5" s="70" t="s">
        <v>424</v>
      </c>
      <c r="AO5" s="70" t="s">
        <v>425</v>
      </c>
    </row>
    <row r="6" spans="1:41" x14ac:dyDescent="0.3">
      <c r="U6" s="70">
        <v>15497</v>
      </c>
      <c r="V6" s="70" t="s">
        <v>343</v>
      </c>
      <c r="AB6" t="s">
        <v>352</v>
      </c>
      <c r="AC6" t="s">
        <v>424</v>
      </c>
      <c r="AD6" t="s">
        <v>426</v>
      </c>
      <c r="AI6" s="70"/>
      <c r="AJ6" s="70"/>
      <c r="AK6" s="70"/>
      <c r="AL6" s="70"/>
      <c r="AM6" s="70"/>
      <c r="AN6" s="70" t="s">
        <v>424</v>
      </c>
      <c r="AO6" s="70" t="s">
        <v>426</v>
      </c>
    </row>
    <row r="7" spans="1:41" x14ac:dyDescent="0.3">
      <c r="U7" s="70">
        <v>12927</v>
      </c>
      <c r="V7" s="70" t="s">
        <v>347</v>
      </c>
      <c r="AB7" t="s">
        <v>389</v>
      </c>
      <c r="AI7" s="70"/>
      <c r="AJ7" s="70"/>
      <c r="AK7" s="70"/>
      <c r="AL7" s="70"/>
      <c r="AM7" s="70"/>
      <c r="AN7" s="70" t="s">
        <v>420</v>
      </c>
      <c r="AO7" s="70" t="s">
        <v>422</v>
      </c>
    </row>
    <row r="8" spans="1:41" x14ac:dyDescent="0.3">
      <c r="U8" s="70">
        <v>17905</v>
      </c>
      <c r="V8" s="70"/>
      <c r="AI8" s="70"/>
      <c r="AJ8" s="70"/>
      <c r="AK8" s="70"/>
      <c r="AL8" s="70"/>
      <c r="AM8" s="70"/>
      <c r="AN8" s="70"/>
      <c r="AO8" s="70"/>
    </row>
    <row r="9" spans="1:41" x14ac:dyDescent="0.3">
      <c r="U9" s="70">
        <v>15129</v>
      </c>
      <c r="V9" s="70"/>
      <c r="AI9" s="70"/>
      <c r="AJ9" s="70"/>
      <c r="AK9" s="70"/>
      <c r="AL9" s="70"/>
      <c r="AM9" s="70"/>
      <c r="AN9" s="70"/>
      <c r="AO9" s="70"/>
    </row>
    <row r="10" spans="1:41" x14ac:dyDescent="0.3">
      <c r="U10" s="70">
        <v>14980</v>
      </c>
      <c r="V10" s="70"/>
      <c r="AI10" s="70"/>
      <c r="AJ10" s="70"/>
      <c r="AK10" s="70"/>
      <c r="AL10" s="70"/>
      <c r="AM10" s="70"/>
      <c r="AN10" s="70"/>
      <c r="AO10" s="70"/>
    </row>
    <row r="11" spans="1:41" x14ac:dyDescent="0.3">
      <c r="AI11" s="70"/>
      <c r="AJ11" s="70"/>
      <c r="AK11" s="70"/>
      <c r="AL11" s="70"/>
      <c r="AM11" s="70"/>
      <c r="AN11" s="70"/>
      <c r="AO11" s="70"/>
    </row>
    <row r="12" spans="1:41" x14ac:dyDescent="0.3">
      <c r="AI12" s="70"/>
      <c r="AJ12" s="70"/>
      <c r="AK12" s="70"/>
      <c r="AL12" s="70"/>
      <c r="AM12" s="70"/>
      <c r="AN12" s="70"/>
      <c r="AO12" s="70"/>
    </row>
    <row r="13" spans="1:41" x14ac:dyDescent="0.3">
      <c r="AI13" s="70"/>
      <c r="AJ13" s="70"/>
      <c r="AK13" s="70"/>
      <c r="AL13" s="70"/>
      <c r="AM13" s="70"/>
      <c r="AN13" s="70"/>
      <c r="AO13" s="70"/>
    </row>
    <row r="14" spans="1:41" x14ac:dyDescent="0.3">
      <c r="A14" t="s">
        <v>375</v>
      </c>
      <c r="AI14" s="70"/>
      <c r="AJ14" s="70"/>
      <c r="AK14" s="70"/>
      <c r="AL14" s="70"/>
      <c r="AM14" s="70"/>
      <c r="AN14" s="70"/>
      <c r="AO14" s="70"/>
    </row>
    <row r="15" spans="1:41" x14ac:dyDescent="0.3">
      <c r="AI15" s="70"/>
      <c r="AJ15" s="70"/>
      <c r="AK15" s="70"/>
      <c r="AL15" s="70"/>
      <c r="AM15" s="70"/>
      <c r="AN15" s="70"/>
      <c r="AO15" s="70"/>
    </row>
    <row r="16" spans="1:41" x14ac:dyDescent="0.3">
      <c r="A16" t="s">
        <v>356</v>
      </c>
    </row>
    <row r="18" spans="1:1" x14ac:dyDescent="0.3">
      <c r="A18" t="s">
        <v>388</v>
      </c>
    </row>
    <row r="20" spans="1:1" x14ac:dyDescent="0.3">
      <c r="A20" t="s">
        <v>387</v>
      </c>
    </row>
    <row r="22" spans="1:1" x14ac:dyDescent="0.3">
      <c r="A22" t="s">
        <v>386</v>
      </c>
    </row>
    <row r="41" spans="1:1" ht="15.6" x14ac:dyDescent="0.3">
      <c r="A41" s="13" t="s">
        <v>385</v>
      </c>
    </row>
    <row r="42" spans="1:1" x14ac:dyDescent="0.3">
      <c r="A42" t="s">
        <v>384</v>
      </c>
    </row>
    <row r="44" spans="1:1" x14ac:dyDescent="0.3">
      <c r="A44" t="s">
        <v>383</v>
      </c>
    </row>
    <row r="45" spans="1:1" x14ac:dyDescent="0.3">
      <c r="A45" t="s">
        <v>378</v>
      </c>
    </row>
    <row r="46" spans="1:1" x14ac:dyDescent="0.3">
      <c r="A46" t="s">
        <v>382</v>
      </c>
    </row>
    <row r="65" spans="1:1" ht="15.6" x14ac:dyDescent="0.3">
      <c r="A65" s="13" t="s">
        <v>381</v>
      </c>
    </row>
    <row r="66" spans="1:1" x14ac:dyDescent="0.3">
      <c r="A66" t="s">
        <v>380</v>
      </c>
    </row>
    <row r="68" spans="1:1" x14ac:dyDescent="0.3">
      <c r="A68" t="s">
        <v>379</v>
      </c>
    </row>
    <row r="69" spans="1:1" x14ac:dyDescent="0.3">
      <c r="A69" s="12" t="s">
        <v>378</v>
      </c>
    </row>
    <row r="70" spans="1:1" x14ac:dyDescent="0.3">
      <c r="A70" t="s">
        <v>377</v>
      </c>
    </row>
    <row r="87" spans="1:1" ht="15.6" x14ac:dyDescent="0.3">
      <c r="A87" s="13" t="s">
        <v>376</v>
      </c>
    </row>
    <row r="88" spans="1:1" x14ac:dyDescent="0.3">
      <c r="A88" t="s">
        <v>375</v>
      </c>
    </row>
    <row r="89" spans="1:1" x14ac:dyDescent="0.3">
      <c r="A89" t="s">
        <v>374</v>
      </c>
    </row>
    <row r="99" spans="1:1" ht="15.6" x14ac:dyDescent="0.3">
      <c r="A99" s="13" t="s">
        <v>373</v>
      </c>
    </row>
    <row r="100" spans="1:1" x14ac:dyDescent="0.3">
      <c r="A100" t="s">
        <v>372</v>
      </c>
    </row>
    <row r="101" spans="1:1" x14ac:dyDescent="0.3">
      <c r="A101" t="s">
        <v>371</v>
      </c>
    </row>
    <row r="113" spans="1:1" x14ac:dyDescent="0.3">
      <c r="A113" t="s">
        <v>370</v>
      </c>
    </row>
    <row r="114" spans="1:1" x14ac:dyDescent="0.3">
      <c r="A114" t="s">
        <v>369</v>
      </c>
    </row>
    <row r="115" spans="1:1" x14ac:dyDescent="0.3">
      <c r="A115" t="s">
        <v>368</v>
      </c>
    </row>
    <row r="116" spans="1:1" x14ac:dyDescent="0.3">
      <c r="A116" t="s">
        <v>367</v>
      </c>
    </row>
    <row r="117" spans="1:1" x14ac:dyDescent="0.3">
      <c r="A117" t="s">
        <v>366</v>
      </c>
    </row>
    <row r="135" spans="1:1" x14ac:dyDescent="0.3">
      <c r="A135" t="s">
        <v>365</v>
      </c>
    </row>
    <row r="154" spans="1:1" ht="15.6" x14ac:dyDescent="0.3">
      <c r="A154" s="13" t="s">
        <v>364</v>
      </c>
    </row>
    <row r="155" spans="1:1" x14ac:dyDescent="0.3">
      <c r="A155" t="s">
        <v>363</v>
      </c>
    </row>
    <row r="182" spans="1:1" x14ac:dyDescent="0.3">
      <c r="A182" t="s">
        <v>356</v>
      </c>
    </row>
    <row r="183" spans="1:1" x14ac:dyDescent="0.3">
      <c r="A183" t="s">
        <v>355</v>
      </c>
    </row>
    <row r="184" spans="1:1" x14ac:dyDescent="0.3">
      <c r="A184" t="s">
        <v>362</v>
      </c>
    </row>
    <row r="203" spans="1:10" x14ac:dyDescent="0.3">
      <c r="A203" s="123" t="s">
        <v>361</v>
      </c>
      <c r="B203" s="123"/>
      <c r="C203" s="123"/>
      <c r="D203" s="123"/>
      <c r="E203" s="123"/>
      <c r="F203" s="123"/>
      <c r="G203" s="123"/>
      <c r="H203" s="123"/>
      <c r="I203" s="123"/>
      <c r="J203" s="123"/>
    </row>
    <row r="204" spans="1:10" x14ac:dyDescent="0.3">
      <c r="A204" s="123"/>
      <c r="B204" s="123"/>
      <c r="C204" s="123"/>
      <c r="D204" s="123"/>
      <c r="E204" s="123"/>
      <c r="F204" s="123"/>
      <c r="G204" s="123"/>
      <c r="H204" s="123"/>
      <c r="I204" s="123"/>
      <c r="J204" s="123"/>
    </row>
    <row r="205" spans="1:10" x14ac:dyDescent="0.3">
      <c r="A205" s="123"/>
      <c r="B205" s="123"/>
      <c r="C205" s="123"/>
      <c r="D205" s="123"/>
      <c r="E205" s="123"/>
      <c r="F205" s="123"/>
      <c r="G205" s="123"/>
      <c r="H205" s="123"/>
      <c r="I205" s="123"/>
      <c r="J205" s="123"/>
    </row>
    <row r="206" spans="1:10" x14ac:dyDescent="0.3">
      <c r="A206" s="123"/>
      <c r="B206" s="123"/>
      <c r="C206" s="123"/>
      <c r="D206" s="123"/>
      <c r="E206" s="123"/>
      <c r="F206" s="123"/>
      <c r="G206" s="123"/>
      <c r="H206" s="123"/>
      <c r="I206" s="123"/>
      <c r="J206" s="123"/>
    </row>
    <row r="208" spans="1:10" x14ac:dyDescent="0.3">
      <c r="A208" t="s">
        <v>360</v>
      </c>
    </row>
    <row r="210" spans="1:1" x14ac:dyDescent="0.3">
      <c r="A210" t="s">
        <v>359</v>
      </c>
    </row>
    <row r="230" spans="1:1" x14ac:dyDescent="0.3">
      <c r="A230" s="1" t="s">
        <v>358</v>
      </c>
    </row>
    <row r="231" spans="1:1" x14ac:dyDescent="0.3">
      <c r="A231" t="s">
        <v>357</v>
      </c>
    </row>
    <row r="232" spans="1:1" x14ac:dyDescent="0.3">
      <c r="A232" t="s">
        <v>356</v>
      </c>
    </row>
    <row r="233" spans="1:1" x14ac:dyDescent="0.3">
      <c r="A233" t="s">
        <v>355</v>
      </c>
    </row>
    <row r="252" spans="1:10" ht="15" customHeight="1" x14ac:dyDescent="0.3">
      <c r="A252" s="124" t="s">
        <v>354</v>
      </c>
      <c r="B252" s="124"/>
      <c r="C252" s="124"/>
      <c r="D252" s="124"/>
      <c r="E252" s="124"/>
      <c r="F252" s="124"/>
      <c r="G252" s="124"/>
      <c r="H252" s="124"/>
      <c r="I252" s="124"/>
      <c r="J252" s="124"/>
    </row>
    <row r="253" spans="1:10" x14ac:dyDescent="0.3">
      <c r="A253" s="124"/>
      <c r="B253" s="124"/>
      <c r="C253" s="124"/>
      <c r="D253" s="124"/>
      <c r="E253" s="124"/>
      <c r="F253" s="124"/>
      <c r="G253" s="124"/>
      <c r="H253" s="124"/>
      <c r="I253" s="124"/>
      <c r="J253" s="124"/>
    </row>
    <row r="254" spans="1:10" x14ac:dyDescent="0.3">
      <c r="A254" s="124"/>
      <c r="B254" s="124"/>
      <c r="C254" s="124"/>
      <c r="D254" s="124"/>
      <c r="E254" s="124"/>
      <c r="F254" s="124"/>
      <c r="G254" s="124"/>
      <c r="H254" s="124"/>
      <c r="I254" s="124"/>
      <c r="J254" s="124"/>
    </row>
    <row r="255" spans="1:10" x14ac:dyDescent="0.3">
      <c r="A255" s="124"/>
      <c r="B255" s="124"/>
      <c r="C255" s="124"/>
      <c r="D255" s="124"/>
      <c r="E255" s="124"/>
      <c r="F255" s="124"/>
      <c r="G255" s="124"/>
      <c r="H255" s="124"/>
      <c r="I255" s="124"/>
      <c r="J255" s="124"/>
    </row>
    <row r="257" spans="1:14" x14ac:dyDescent="0.3">
      <c r="A257" t="s">
        <v>353</v>
      </c>
    </row>
    <row r="269" spans="1:14" x14ac:dyDescent="0.3">
      <c r="N269" t="s">
        <v>352</v>
      </c>
    </row>
    <row r="271" spans="1:14" x14ac:dyDescent="0.3">
      <c r="A271" t="s">
        <v>351</v>
      </c>
      <c r="B271" t="s">
        <v>350</v>
      </c>
      <c r="C271" t="s">
        <v>349</v>
      </c>
    </row>
    <row r="272" spans="1:14" x14ac:dyDescent="0.3">
      <c r="A272" t="s">
        <v>342</v>
      </c>
      <c r="B272" t="s">
        <v>342</v>
      </c>
      <c r="J272" t="s">
        <v>348</v>
      </c>
    </row>
    <row r="273" spans="1:4" x14ac:dyDescent="0.3">
      <c r="A273" t="s">
        <v>343</v>
      </c>
      <c r="B273" t="s">
        <v>343</v>
      </c>
    </row>
    <row r="274" spans="1:4" x14ac:dyDescent="0.3">
      <c r="B274" t="s">
        <v>347</v>
      </c>
    </row>
    <row r="276" spans="1:4" x14ac:dyDescent="0.3">
      <c r="A276" t="s">
        <v>346</v>
      </c>
      <c r="C276" t="s">
        <v>345</v>
      </c>
      <c r="D276" t="s">
        <v>344</v>
      </c>
    </row>
    <row r="277" spans="1:4" x14ac:dyDescent="0.3">
      <c r="A277" t="s">
        <v>342</v>
      </c>
      <c r="B277" t="s">
        <v>342</v>
      </c>
    </row>
    <row r="278" spans="1:4" x14ac:dyDescent="0.3">
      <c r="A278" t="s">
        <v>343</v>
      </c>
      <c r="B278" t="s">
        <v>343</v>
      </c>
    </row>
    <row r="279" spans="1:4" x14ac:dyDescent="0.3">
      <c r="A279" t="s">
        <v>342</v>
      </c>
      <c r="B279" t="s">
        <v>341</v>
      </c>
    </row>
  </sheetData>
  <dataConsolidate/>
  <mergeCells count="3">
    <mergeCell ref="A1:K1"/>
    <mergeCell ref="A203:J206"/>
    <mergeCell ref="A252:J255"/>
  </mergeCells>
  <dataValidations count="13">
    <dataValidation type="list" errorStyle="warning" allowBlank="1" showInputMessage="1" showErrorMessage="1" sqref="B277:B285" xr:uid="{00000000-0002-0000-0900-00000F000000}">
      <formula1>$B$272:$B$274</formula1>
    </dataValidation>
    <dataValidation type="list" allowBlank="1" showInputMessage="1" showErrorMessage="1" promptTitle="Pref" prompt="Please select the preference from the list only" sqref="A277:A284" xr:uid="{00000000-0002-0000-0900-00000E000000}">
      <formula1>$A$272:$A$273</formula1>
    </dataValidation>
    <dataValidation type="list" allowBlank="1" showInputMessage="1" showErrorMessage="1" sqref="A285:A288" xr:uid="{00000000-0002-0000-0900-00000D000000}">
      <formula1>$A$272:$A$273</formula1>
    </dataValidation>
    <dataValidation type="list" errorStyle="warning" allowBlank="1" showInputMessage="1" showErrorMessage="1" errorTitle="Select Pref" error="Please select the item from the list only" promptTitle="Select Pref" prompt="Please select the item from the list only" sqref="B272:B275" xr:uid="{00000000-0002-0000-0900-00000C000000}">
      <formula1>$A$272:$A$273</formula1>
    </dataValidation>
    <dataValidation type="textLength" operator="equal" allowBlank="1" showInputMessage="1" showErrorMessage="1" sqref="AM2:AM15" xr:uid="{00000000-0002-0000-0900-000002000000}">
      <formula1>10</formula1>
    </dataValidation>
    <dataValidation type="list" allowBlank="1" showInputMessage="1" showErrorMessage="1" sqref="N269:N270" xr:uid="{00000000-0002-0000-0900-000000000000}">
      <formula1>LstRngPol</formula1>
    </dataValidation>
    <dataValidation type="list" allowBlank="1" showInputMessage="1" showErrorMessage="1" errorTitle="Preference" error="Please select the item from the list only" sqref="V2:V10" xr:uid="{7F50015B-7089-4AD3-9A4C-00F8CDDA1B35}">
      <formula1>$Q$2:$Q$3</formula1>
    </dataValidation>
    <dataValidation type="list" allowBlank="1" showInputMessage="1" showErrorMessage="1" sqref="AB14" xr:uid="{E7E059F8-CAD0-4A5F-A8EA-1EE3E173DC71}">
      <formula1>$X$2:$X$5</formula1>
    </dataValidation>
    <dataValidation type="list" errorStyle="warning" allowBlank="1" showInputMessage="1" showErrorMessage="1" promptTitle="Select Policy Status" prompt="Please select the value from the list only" sqref="AB2:AB13" xr:uid="{B66651A4-AB45-4FFA-A305-9BDF67989B69}">
      <formula1>$X$2:$X$5</formula1>
    </dataValidation>
    <dataValidation type="list" allowBlank="1" showInputMessage="1" showErrorMessage="1" promptTitle="Select State" prompt="Select State from the list only" sqref="AN2:AN15" xr:uid="{344D818E-C1DB-436C-959A-0D0C9339D604}">
      <formula1>$AF$2:$AF$3</formula1>
    </dataValidation>
    <dataValidation type="list" allowBlank="1" showInputMessage="1" showErrorMessage="1" sqref="AO2:AO15" xr:uid="{FAAC63D2-B5A1-450C-8F71-AE98B3596B5C}">
      <formula1>IF($AN2="Haryana",$AD$2:$AD$4,$AD$5:$AD$6)</formula1>
    </dataValidation>
    <dataValidation type="whole" allowBlank="1" showInputMessage="1" showErrorMessage="1" sqref="AL2:AL15" xr:uid="{B28B7AA1-904C-466B-B37D-ED8FF50E2460}">
      <formula1>20000</formula1>
      <formula2>30000</formula2>
    </dataValidation>
    <dataValidation type="custom" allowBlank="1" showInputMessage="1" showErrorMessage="1" sqref="AI2:AI15" xr:uid="{EBF749CE-D143-4669-A2DB-4223921B425E}">
      <formula1>COUNTIF($AI$2:$AI$15,AI2)=1</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13000000}">
          <x14:formula1>
            <xm:f>'F:\New Volume\Rohit Data\Classes Data\New Assignments 2019\Excel\Tutorials\[Assignment-3 Working.xlsx]DAta'!#REF!</xm:f>
          </x14:formula1>
          <xm:sqref>W1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ER800"/>
  <sheetViews>
    <sheetView showGridLines="0" zoomScale="160" zoomScaleNormal="160" workbookViewId="0">
      <selection activeCell="H10" sqref="H10"/>
    </sheetView>
  </sheetViews>
  <sheetFormatPr defaultRowHeight="14.4" x14ac:dyDescent="0.3"/>
  <cols>
    <col min="9" max="13" width="5.33203125" customWidth="1"/>
    <col min="14" max="14" width="7.33203125" customWidth="1"/>
    <col min="24" max="25" width="6.33203125" customWidth="1"/>
    <col min="26" max="26" width="8.44140625" customWidth="1"/>
    <col min="32" max="32" width="8.88671875" hidden="1" customWidth="1"/>
    <col min="35" max="35" width="10.33203125" bestFit="1" customWidth="1"/>
    <col min="37" max="37" width="6" bestFit="1" customWidth="1"/>
    <col min="38" max="38" width="18" style="73" bestFit="1" customWidth="1"/>
    <col min="39" max="40" width="18" style="73" customWidth="1"/>
    <col min="43" max="43" width="12.44140625" customWidth="1"/>
    <col min="44" max="46" width="10.33203125" customWidth="1"/>
    <col min="47" max="48" width="1.88671875" customWidth="1"/>
    <col min="49" max="49" width="8" bestFit="1" customWidth="1"/>
    <col min="50" max="50" width="11.6640625" bestFit="1" customWidth="1"/>
    <col min="51" max="51" width="10.6640625" style="62" bestFit="1" customWidth="1"/>
    <col min="52" max="52" width="8" bestFit="1" customWidth="1"/>
    <col min="53" max="53" width="13.88671875" bestFit="1" customWidth="1"/>
    <col min="55" max="55" width="9.88671875" bestFit="1" customWidth="1"/>
    <col min="73" max="73" width="8" bestFit="1" customWidth="1"/>
    <col min="74" max="74" width="11.6640625" bestFit="1" customWidth="1"/>
    <col min="75" max="75" width="10.6640625" style="62" bestFit="1" customWidth="1"/>
    <col min="76" max="76" width="8" bestFit="1" customWidth="1"/>
    <col min="77" max="77" width="13.88671875" bestFit="1" customWidth="1"/>
    <col min="85" max="85" width="11.6640625" bestFit="1" customWidth="1"/>
    <col min="102" max="102" width="11.44140625" bestFit="1" customWidth="1"/>
    <col min="103" max="103" width="7.44140625" bestFit="1" customWidth="1"/>
    <col min="104" max="104" width="8.109375" bestFit="1" customWidth="1"/>
    <col min="105" max="105" width="8.33203125" bestFit="1" customWidth="1"/>
    <col min="106" max="106" width="11.44140625" bestFit="1" customWidth="1"/>
    <col min="145" max="145" width="9.6640625" bestFit="1" customWidth="1"/>
  </cols>
  <sheetData>
    <row r="1" spans="1:148" ht="14.4" customHeight="1" thickBot="1" x14ac:dyDescent="0.35">
      <c r="A1">
        <v>65</v>
      </c>
      <c r="B1">
        <v>145</v>
      </c>
      <c r="C1">
        <v>130</v>
      </c>
      <c r="D1">
        <v>81</v>
      </c>
      <c r="E1">
        <v>145</v>
      </c>
      <c r="G1" s="93">
        <f>COUNTIFS(A1:E14,"&gt;9",A1:E14,"&lt;100")</f>
        <v>31</v>
      </c>
      <c r="I1">
        <f>SUM(J1:N14)</f>
        <v>31</v>
      </c>
      <c r="J1">
        <f>IF(A1&gt;9,IF(A1&lt;100,1,0))</f>
        <v>1</v>
      </c>
      <c r="K1">
        <f t="shared" ref="K1:N1" si="0">IF(B1&gt;9,IF(B1&lt;100,1,0))</f>
        <v>0</v>
      </c>
      <c r="L1">
        <f t="shared" si="0"/>
        <v>0</v>
      </c>
      <c r="M1">
        <f t="shared" si="0"/>
        <v>1</v>
      </c>
      <c r="N1">
        <f t="shared" si="0"/>
        <v>0</v>
      </c>
      <c r="X1" t="s">
        <v>264</v>
      </c>
      <c r="Y1" t="s">
        <v>268</v>
      </c>
      <c r="Z1" t="s">
        <v>272</v>
      </c>
      <c r="AB1">
        <f t="array" ref="AB1">SUM(IF(LEN(X1:Z4)=2,1,0))</f>
        <v>7</v>
      </c>
      <c r="AF1" t="s">
        <v>277</v>
      </c>
      <c r="AG1" s="87" t="s">
        <v>276</v>
      </c>
      <c r="AH1" s="88" t="s">
        <v>277</v>
      </c>
      <c r="AI1" s="89" t="s">
        <v>278</v>
      </c>
      <c r="AK1" s="69" t="s">
        <v>277</v>
      </c>
      <c r="AL1" s="71" t="s">
        <v>159</v>
      </c>
      <c r="AM1"/>
      <c r="AN1"/>
      <c r="AQ1" s="125" t="s">
        <v>290</v>
      </c>
      <c r="AR1" s="127" t="s">
        <v>291</v>
      </c>
      <c r="AS1" s="128"/>
      <c r="AT1" s="129"/>
      <c r="AW1" t="s">
        <v>6</v>
      </c>
      <c r="AX1" t="s">
        <v>9</v>
      </c>
      <c r="AY1" s="62" t="s">
        <v>10</v>
      </c>
      <c r="AZ1" t="s">
        <v>11</v>
      </c>
      <c r="BA1" t="s">
        <v>12</v>
      </c>
      <c r="BC1" s="74" t="s">
        <v>413</v>
      </c>
      <c r="BD1" s="74"/>
      <c r="BE1" s="74"/>
      <c r="BF1" s="74"/>
      <c r="BG1" s="74"/>
      <c r="BH1" s="74"/>
      <c r="BO1">
        <f>AVERAGE(500,,500)</f>
        <v>333.33333333333331</v>
      </c>
      <c r="BU1" t="s">
        <v>6</v>
      </c>
      <c r="BV1" t="s">
        <v>9</v>
      </c>
      <c r="BW1" s="62" t="s">
        <v>10</v>
      </c>
      <c r="BX1" t="s">
        <v>11</v>
      </c>
      <c r="BY1" t="s">
        <v>12</v>
      </c>
      <c r="CA1" t="s">
        <v>57</v>
      </c>
      <c r="CB1">
        <f>DSUM(BU1:BY800,BY1,CF1:CG2)</f>
        <v>162503.77999999997</v>
      </c>
      <c r="CF1" t="s">
        <v>6</v>
      </c>
      <c r="CG1" t="s">
        <v>9</v>
      </c>
      <c r="CH1" t="s">
        <v>12</v>
      </c>
      <c r="CI1" t="s">
        <v>12</v>
      </c>
      <c r="CM1">
        <f ca="1">RANDBETWEEN(10,50)</f>
        <v>21</v>
      </c>
      <c r="CO1">
        <f t="array" aca="1" ref="CO1" ca="1">SUM(IF($CM$1:$CM$9&gt;=LARGE(CM1:CM9,5),CM1:CM9,0))</f>
        <v>201</v>
      </c>
      <c r="CR1" t="s">
        <v>6</v>
      </c>
      <c r="CS1" t="s">
        <v>9</v>
      </c>
      <c r="CW1" t="s">
        <v>314</v>
      </c>
      <c r="CX1" t="s">
        <v>328</v>
      </c>
      <c r="CY1" t="s">
        <v>313</v>
      </c>
      <c r="CZ1" t="s">
        <v>327</v>
      </c>
      <c r="DA1" t="s">
        <v>328</v>
      </c>
      <c r="DB1" t="s">
        <v>329</v>
      </c>
      <c r="DH1" t="s">
        <v>280</v>
      </c>
      <c r="DK1" t="s">
        <v>280</v>
      </c>
      <c r="ER1" s="107" t="s">
        <v>412</v>
      </c>
    </row>
    <row r="2" spans="1:148" ht="16.2" thickBot="1" x14ac:dyDescent="0.35">
      <c r="A2">
        <v>117</v>
      </c>
      <c r="B2">
        <v>73</v>
      </c>
      <c r="C2">
        <v>134</v>
      </c>
      <c r="D2">
        <v>94</v>
      </c>
      <c r="E2">
        <v>145</v>
      </c>
      <c r="J2">
        <f t="shared" ref="J2:J14" si="1">IF(A2&gt;9,IF(A2&lt;100,1,0))</f>
        <v>0</v>
      </c>
      <c r="K2">
        <f t="shared" ref="K2:K14" si="2">IF(B2&gt;9,IF(B2&lt;100,1,0))</f>
        <v>1</v>
      </c>
      <c r="L2">
        <f t="shared" ref="L2:L14" si="3">IF(C2&gt;9,IF(C2&lt;100,1,0))</f>
        <v>0</v>
      </c>
      <c r="M2">
        <f t="shared" ref="M2:M14" si="4">IF(D2&gt;9,IF(D2&lt;100,1,0))</f>
        <v>1</v>
      </c>
      <c r="N2">
        <f t="shared" ref="N2:N14" si="5">IF(E2&gt;9,IF(E2&lt;100,1,0))</f>
        <v>0</v>
      </c>
      <c r="X2" t="s">
        <v>265</v>
      </c>
      <c r="Y2" t="s">
        <v>269</v>
      </c>
      <c r="Z2" t="s">
        <v>269</v>
      </c>
      <c r="AF2" t="s">
        <v>280</v>
      </c>
      <c r="AG2" s="67">
        <v>6</v>
      </c>
      <c r="AH2" s="85" t="s">
        <v>279</v>
      </c>
      <c r="AI2" s="68">
        <f t="array" ref="AI2">SUM(IF(MONTH($AL$2:$AL$440)=AG2,IF($AK$2:$AK$440=AH2,1,0)))</f>
        <v>4</v>
      </c>
      <c r="AK2" s="70" t="s">
        <v>280</v>
      </c>
      <c r="AL2" s="72">
        <v>40825</v>
      </c>
      <c r="AM2"/>
      <c r="AQ2" s="126"/>
      <c r="AR2" s="91">
        <v>2007</v>
      </c>
      <c r="AS2" s="91">
        <v>2008</v>
      </c>
      <c r="AT2" s="92">
        <v>2009</v>
      </c>
      <c r="AW2" t="s">
        <v>8</v>
      </c>
      <c r="AX2" t="s">
        <v>18</v>
      </c>
      <c r="AY2" s="62">
        <v>38395</v>
      </c>
      <c r="AZ2">
        <v>10865</v>
      </c>
      <c r="BA2">
        <v>16387.5</v>
      </c>
      <c r="BC2" s="75"/>
      <c r="BD2" s="75"/>
      <c r="BE2" s="75"/>
      <c r="BF2" s="75"/>
      <c r="BG2" s="75"/>
      <c r="BH2" s="75"/>
      <c r="BU2" t="s">
        <v>8</v>
      </c>
      <c r="BV2" t="s">
        <v>18</v>
      </c>
      <c r="BW2" s="62">
        <v>38395</v>
      </c>
      <c r="BX2">
        <v>10865</v>
      </c>
      <c r="BY2">
        <v>16387.5</v>
      </c>
      <c r="CA2" t="s">
        <v>297</v>
      </c>
      <c r="CB2">
        <f>DMAX(BU1:BY800,BY1,CF1:CG2)</f>
        <v>16387.5</v>
      </c>
      <c r="CF2" t="s">
        <v>8</v>
      </c>
      <c r="CG2" t="s">
        <v>18</v>
      </c>
      <c r="CH2" t="s">
        <v>274</v>
      </c>
      <c r="CI2" t="s">
        <v>298</v>
      </c>
      <c r="CM2">
        <f t="shared" ref="CM2:CM9" ca="1" si="6">RANDBETWEEN(10,50)</f>
        <v>38</v>
      </c>
      <c r="CR2" t="s">
        <v>8</v>
      </c>
      <c r="CS2" t="s">
        <v>14</v>
      </c>
      <c r="CW2" t="s">
        <v>315</v>
      </c>
      <c r="CX2" t="s">
        <v>313</v>
      </c>
      <c r="DH2" t="s">
        <v>332</v>
      </c>
      <c r="DK2" t="s">
        <v>332</v>
      </c>
    </row>
    <row r="3" spans="1:148" ht="16.2" thickBot="1" x14ac:dyDescent="0.35">
      <c r="A3">
        <v>134</v>
      </c>
      <c r="B3">
        <v>73</v>
      </c>
      <c r="C3">
        <v>108</v>
      </c>
      <c r="D3">
        <v>132</v>
      </c>
      <c r="E3">
        <v>56</v>
      </c>
      <c r="J3">
        <f t="shared" si="1"/>
        <v>0</v>
      </c>
      <c r="K3">
        <f t="shared" si="2"/>
        <v>1</v>
      </c>
      <c r="L3">
        <f t="shared" si="3"/>
        <v>0</v>
      </c>
      <c r="M3">
        <f t="shared" si="4"/>
        <v>0</v>
      </c>
      <c r="N3">
        <f t="shared" si="5"/>
        <v>1</v>
      </c>
      <c r="X3" t="s">
        <v>266</v>
      </c>
      <c r="Y3" t="s">
        <v>270</v>
      </c>
      <c r="Z3" t="s">
        <v>273</v>
      </c>
      <c r="AF3" t="s">
        <v>281</v>
      </c>
      <c r="AK3" s="70" t="s">
        <v>281</v>
      </c>
      <c r="AL3" s="72">
        <v>40826</v>
      </c>
      <c r="AM3"/>
      <c r="AQ3" s="90" t="s">
        <v>292</v>
      </c>
      <c r="AR3" s="76">
        <f t="array" ref="AR3">SUM(IF(LEFT($AX$2:$AX$800,1)=$AQ3,IF(YEAR($AY$2:$AY$800)=AR$2,$BA$2:$BA$800,0)))</f>
        <v>34392.860000000008</v>
      </c>
      <c r="AS3" s="76">
        <f t="array" ref="AS3">SUM(IF(LEFT($AX$2:$AX$800,1)=$AQ3,IF(YEAR($AY$2:$AY$800)=AS$2,$BA$2:$BA$800,0)))</f>
        <v>116781.21000000005</v>
      </c>
      <c r="AT3" s="76">
        <f t="array" ref="AT3">SUM(IF(LEFT($AX$2:$AX$800,1)=$AQ3,IF(YEAR($AY$2:$AY$800)=AT$2,$BA$2:$BA$800,0)))</f>
        <v>88821.589999999982</v>
      </c>
      <c r="AW3" t="s">
        <v>8</v>
      </c>
      <c r="AX3" t="s">
        <v>287</v>
      </c>
      <c r="AY3" s="62">
        <v>38444</v>
      </c>
      <c r="AZ3">
        <v>10981</v>
      </c>
      <c r="BA3">
        <v>15810</v>
      </c>
      <c r="BC3" s="75"/>
      <c r="BD3" s="75"/>
      <c r="BE3" s="75"/>
      <c r="BF3" s="75"/>
      <c r="BG3" s="75"/>
      <c r="BH3" s="75"/>
      <c r="BU3" t="s">
        <v>8</v>
      </c>
      <c r="BV3" t="s">
        <v>287</v>
      </c>
      <c r="BW3" s="62">
        <v>38444</v>
      </c>
      <c r="BX3">
        <v>10981</v>
      </c>
      <c r="BY3">
        <v>15810</v>
      </c>
      <c r="CA3" t="s">
        <v>401</v>
      </c>
      <c r="CB3">
        <f>DCOUNT(BU1:BY800,BY1,CF1:CI2)</f>
        <v>3</v>
      </c>
      <c r="CM3">
        <f t="shared" ca="1" si="6"/>
        <v>43</v>
      </c>
      <c r="CW3" t="s">
        <v>316</v>
      </c>
      <c r="CX3" t="s">
        <v>327</v>
      </c>
      <c r="DH3" t="s">
        <v>292</v>
      </c>
      <c r="DK3" t="s">
        <v>292</v>
      </c>
      <c r="DX3" s="96" t="s">
        <v>407</v>
      </c>
      <c r="DZ3" s="97"/>
      <c r="EA3" s="98"/>
      <c r="EC3" s="130" t="s">
        <v>410</v>
      </c>
      <c r="ED3" s="130"/>
      <c r="EE3" s="130"/>
      <c r="EI3" s="131"/>
      <c r="EJ3" s="132"/>
      <c r="EK3" s="133"/>
    </row>
    <row r="4" spans="1:148" ht="16.2" thickBot="1" x14ac:dyDescent="0.35">
      <c r="A4">
        <v>108</v>
      </c>
      <c r="B4">
        <v>77</v>
      </c>
      <c r="C4">
        <v>106</v>
      </c>
      <c r="D4">
        <v>142</v>
      </c>
      <c r="E4">
        <v>113</v>
      </c>
      <c r="J4">
        <f t="shared" si="1"/>
        <v>0</v>
      </c>
      <c r="K4">
        <f t="shared" si="2"/>
        <v>1</v>
      </c>
      <c r="L4">
        <f t="shared" si="3"/>
        <v>0</v>
      </c>
      <c r="M4">
        <f t="shared" si="4"/>
        <v>0</v>
      </c>
      <c r="N4">
        <f t="shared" si="5"/>
        <v>0</v>
      </c>
      <c r="X4" t="s">
        <v>267</v>
      </c>
      <c r="Y4" t="s">
        <v>271</v>
      </c>
      <c r="Z4" t="s">
        <v>269</v>
      </c>
      <c r="AF4" t="s">
        <v>282</v>
      </c>
      <c r="AK4" s="70" t="s">
        <v>282</v>
      </c>
      <c r="AL4" s="72">
        <v>40827</v>
      </c>
      <c r="AM4"/>
      <c r="AQ4" s="90" t="s">
        <v>293</v>
      </c>
      <c r="AR4" s="76">
        <f t="array" ref="AR4">SUM(IF(LEFT($AX$2:$AX$800,1)=$AQ4,IF(YEAR($AY$2:$AY$800)=AR$2,$BA$2:$BA$800,0)))</f>
        <v>69082.670000000013</v>
      </c>
      <c r="AS4" s="76">
        <f t="array" ref="AS4">SUM(IF(LEFT($AX$2:$AX$800,1)=$AQ4,IF(YEAR($AY$2:$AY$800)=AS$2,$BA$2:$BA$800,0)))</f>
        <v>221948.57999999996</v>
      </c>
      <c r="AT4" s="76">
        <f t="array" ref="AT4">SUM(IF(LEFT($AX$2:$AX$800,1)=$AQ4,IF(YEAR($AY$2:$AY$800)=AT$2,$BA$2:$BA$800,0)))</f>
        <v>133443.10000000003</v>
      </c>
      <c r="AW4" t="s">
        <v>7</v>
      </c>
      <c r="AX4" t="s">
        <v>288</v>
      </c>
      <c r="AY4" s="62">
        <v>38469</v>
      </c>
      <c r="AZ4">
        <v>11030</v>
      </c>
      <c r="BA4">
        <v>12615.05</v>
      </c>
      <c r="BC4" s="78">
        <f t="array" ref="BC4">SUM(IF(YEAR($AY$2:$AY$800)=2007,IF($AW$2:$AW$800="UK",$BA$2:$BA$800,0)))</f>
        <v>57313.549999999996</v>
      </c>
      <c r="BD4" s="75"/>
      <c r="BE4" s="75"/>
      <c r="BF4" s="75"/>
      <c r="BG4" s="75"/>
      <c r="BH4" s="75"/>
      <c r="BU4" t="s">
        <v>7</v>
      </c>
      <c r="BV4" t="s">
        <v>288</v>
      </c>
      <c r="BW4" s="62">
        <v>38469</v>
      </c>
      <c r="BX4">
        <v>11030</v>
      </c>
      <c r="BY4">
        <v>12615.05</v>
      </c>
      <c r="CM4">
        <f t="shared" ca="1" si="6"/>
        <v>46</v>
      </c>
      <c r="CW4" t="s">
        <v>317</v>
      </c>
      <c r="CX4" t="s">
        <v>328</v>
      </c>
      <c r="DH4" t="s">
        <v>333</v>
      </c>
      <c r="DK4" t="s">
        <v>333</v>
      </c>
      <c r="DZ4" s="99"/>
      <c r="EA4" s="100"/>
      <c r="EC4" s="130"/>
      <c r="ED4" s="130"/>
      <c r="EE4" s="130"/>
      <c r="EI4" s="134"/>
      <c r="EJ4" s="130"/>
      <c r="EK4" s="135"/>
      <c r="EO4" s="106">
        <v>-21212</v>
      </c>
    </row>
    <row r="5" spans="1:148" ht="15.6" x14ac:dyDescent="0.3">
      <c r="A5">
        <v>68</v>
      </c>
      <c r="B5">
        <v>75</v>
      </c>
      <c r="C5">
        <v>140</v>
      </c>
      <c r="D5">
        <v>74</v>
      </c>
      <c r="E5">
        <v>59</v>
      </c>
      <c r="G5" s="93">
        <f t="array" ref="G5">SUM(IF(A1:E14&gt;9,IF(A1:E14&lt;100,1,0)))</f>
        <v>31</v>
      </c>
      <c r="J5">
        <f t="shared" si="1"/>
        <v>1</v>
      </c>
      <c r="K5">
        <f t="shared" si="2"/>
        <v>1</v>
      </c>
      <c r="L5">
        <f t="shared" si="3"/>
        <v>0</v>
      </c>
      <c r="M5">
        <f t="shared" si="4"/>
        <v>1</v>
      </c>
      <c r="N5">
        <f t="shared" si="5"/>
        <v>1</v>
      </c>
      <c r="AF5" t="s">
        <v>283</v>
      </c>
      <c r="AK5" s="70" t="s">
        <v>279</v>
      </c>
      <c r="AL5" s="72">
        <v>40555</v>
      </c>
      <c r="AM5"/>
      <c r="AQ5" s="77"/>
      <c r="AW5" t="s">
        <v>7</v>
      </c>
      <c r="AX5" t="s">
        <v>16</v>
      </c>
      <c r="AY5" s="62">
        <v>38406</v>
      </c>
      <c r="AZ5">
        <v>10889</v>
      </c>
      <c r="BA5">
        <v>11380</v>
      </c>
      <c r="BC5" s="75"/>
      <c r="BD5" s="75"/>
      <c r="BE5" s="75"/>
      <c r="BF5" s="75"/>
      <c r="BG5" s="75"/>
      <c r="BH5" s="75"/>
      <c r="BU5" t="s">
        <v>7</v>
      </c>
      <c r="BV5" t="s">
        <v>16</v>
      </c>
      <c r="BW5" s="62">
        <v>38406</v>
      </c>
      <c r="BX5">
        <v>10889</v>
      </c>
      <c r="BY5">
        <v>11380</v>
      </c>
      <c r="CM5">
        <f t="shared" ca="1" si="6"/>
        <v>36</v>
      </c>
      <c r="CW5" t="s">
        <v>318</v>
      </c>
      <c r="CX5" t="s">
        <v>329</v>
      </c>
      <c r="DH5" t="s">
        <v>334</v>
      </c>
      <c r="DK5" t="s">
        <v>334</v>
      </c>
      <c r="DX5" s="103">
        <v>11111</v>
      </c>
      <c r="DZ5" s="99"/>
      <c r="EA5" s="100"/>
      <c r="EI5" s="136"/>
      <c r="EJ5" s="137"/>
      <c r="EK5" s="138"/>
    </row>
    <row r="6" spans="1:148" ht="16.2" x14ac:dyDescent="0.3">
      <c r="A6">
        <v>140</v>
      </c>
      <c r="B6">
        <v>117</v>
      </c>
      <c r="C6">
        <v>69</v>
      </c>
      <c r="D6">
        <v>142</v>
      </c>
      <c r="E6">
        <v>116</v>
      </c>
      <c r="J6">
        <f t="shared" si="1"/>
        <v>0</v>
      </c>
      <c r="K6">
        <f t="shared" si="2"/>
        <v>0</v>
      </c>
      <c r="L6">
        <f t="shared" si="3"/>
        <v>1</v>
      </c>
      <c r="M6">
        <f t="shared" si="4"/>
        <v>0</v>
      </c>
      <c r="N6">
        <f t="shared" si="5"/>
        <v>0</v>
      </c>
      <c r="AF6" t="s">
        <v>284</v>
      </c>
      <c r="AK6" s="70" t="s">
        <v>279</v>
      </c>
      <c r="AL6" s="72">
        <v>40829</v>
      </c>
      <c r="AM6"/>
      <c r="AW6" t="s">
        <v>8</v>
      </c>
      <c r="AX6" t="s">
        <v>14</v>
      </c>
      <c r="AY6" s="62">
        <v>38014</v>
      </c>
      <c r="AZ6">
        <v>10417</v>
      </c>
      <c r="BA6">
        <v>11188.4</v>
      </c>
      <c r="BC6" s="75"/>
      <c r="BD6" s="75"/>
      <c r="BE6" s="75"/>
      <c r="BF6" s="75"/>
      <c r="BG6" s="75"/>
      <c r="BH6" s="75"/>
      <c r="BU6" t="s">
        <v>8</v>
      </c>
      <c r="BV6" t="s">
        <v>14</v>
      </c>
      <c r="BW6" s="62">
        <v>38014</v>
      </c>
      <c r="BX6">
        <v>10417</v>
      </c>
      <c r="BY6">
        <v>11188.4</v>
      </c>
      <c r="CM6">
        <f t="shared" ca="1" si="6"/>
        <v>31</v>
      </c>
      <c r="CW6" t="s">
        <v>319</v>
      </c>
      <c r="CX6" t="s">
        <v>330</v>
      </c>
      <c r="DX6" t="s">
        <v>408</v>
      </c>
      <c r="DZ6" s="99"/>
      <c r="EA6" s="100"/>
      <c r="EI6" s="136"/>
      <c r="EJ6" s="137"/>
      <c r="EK6" s="138"/>
    </row>
    <row r="7" spans="1:148" ht="16.2" x14ac:dyDescent="0.35">
      <c r="A7">
        <v>112</v>
      </c>
      <c r="B7">
        <v>69</v>
      </c>
      <c r="C7">
        <v>127</v>
      </c>
      <c r="D7">
        <v>51</v>
      </c>
      <c r="E7">
        <v>50</v>
      </c>
      <c r="J7">
        <f t="shared" si="1"/>
        <v>0</v>
      </c>
      <c r="K7">
        <f t="shared" si="2"/>
        <v>1</v>
      </c>
      <c r="L7">
        <f t="shared" si="3"/>
        <v>0</v>
      </c>
      <c r="M7">
        <f t="shared" si="4"/>
        <v>1</v>
      </c>
      <c r="N7">
        <f t="shared" si="5"/>
        <v>1</v>
      </c>
      <c r="X7" s="65"/>
      <c r="Y7" s="79"/>
      <c r="Z7" s="65"/>
      <c r="AF7" t="s">
        <v>285</v>
      </c>
      <c r="AK7" s="70" t="s">
        <v>285</v>
      </c>
      <c r="AL7" s="72">
        <v>40830</v>
      </c>
      <c r="AM7"/>
      <c r="AW7" t="s">
        <v>8</v>
      </c>
      <c r="AX7" t="s">
        <v>15</v>
      </c>
      <c r="AY7" s="62">
        <v>38365</v>
      </c>
      <c r="AZ7">
        <v>10817</v>
      </c>
      <c r="BA7">
        <v>10952.84</v>
      </c>
      <c r="BC7" s="74" t="s">
        <v>301</v>
      </c>
      <c r="BD7" s="74"/>
      <c r="BE7" s="74"/>
      <c r="BF7" s="74"/>
      <c r="BG7" s="74"/>
      <c r="BH7" s="74"/>
      <c r="BU7" t="s">
        <v>8</v>
      </c>
      <c r="BV7" t="s">
        <v>15</v>
      </c>
      <c r="BW7" s="62">
        <v>38365</v>
      </c>
      <c r="BX7">
        <v>10817</v>
      </c>
      <c r="BY7">
        <v>10952.84</v>
      </c>
      <c r="CM7">
        <f t="shared" ca="1" si="6"/>
        <v>23</v>
      </c>
      <c r="CW7" t="s">
        <v>320</v>
      </c>
      <c r="CX7" t="s">
        <v>331</v>
      </c>
      <c r="DX7" s="36" t="s">
        <v>409</v>
      </c>
      <c r="DZ7" s="99"/>
      <c r="EA7" s="100"/>
      <c r="EI7" s="136"/>
      <c r="EJ7" s="137"/>
      <c r="EK7" s="138"/>
    </row>
    <row r="8" spans="1:148" ht="16.2" thickBot="1" x14ac:dyDescent="0.35">
      <c r="A8">
        <v>79</v>
      </c>
      <c r="B8">
        <v>93</v>
      </c>
      <c r="C8">
        <v>81</v>
      </c>
      <c r="D8">
        <v>125</v>
      </c>
      <c r="E8">
        <v>106</v>
      </c>
      <c r="J8">
        <f t="shared" si="1"/>
        <v>1</v>
      </c>
      <c r="K8">
        <f t="shared" si="2"/>
        <v>1</v>
      </c>
      <c r="L8">
        <f t="shared" si="3"/>
        <v>1</v>
      </c>
      <c r="M8">
        <f t="shared" si="4"/>
        <v>0</v>
      </c>
      <c r="N8">
        <f t="shared" si="5"/>
        <v>0</v>
      </c>
      <c r="AF8" t="s">
        <v>279</v>
      </c>
      <c r="AK8" s="70" t="s">
        <v>279</v>
      </c>
      <c r="AL8" s="72">
        <v>40831</v>
      </c>
      <c r="AM8"/>
      <c r="AW8" t="s">
        <v>8</v>
      </c>
      <c r="AX8" t="s">
        <v>15</v>
      </c>
      <c r="AY8" s="62">
        <v>38408</v>
      </c>
      <c r="AZ8">
        <v>10897</v>
      </c>
      <c r="BA8">
        <v>10835.24</v>
      </c>
      <c r="BC8" s="75"/>
      <c r="BD8" s="75"/>
      <c r="BE8" s="75"/>
      <c r="BF8" s="75"/>
      <c r="BG8" s="75"/>
      <c r="BH8" s="75"/>
      <c r="BU8" t="s">
        <v>8</v>
      </c>
      <c r="BV8" t="s">
        <v>15</v>
      </c>
      <c r="BW8" s="62">
        <v>38408</v>
      </c>
      <c r="BX8">
        <v>10897</v>
      </c>
      <c r="BY8">
        <v>10835.24</v>
      </c>
      <c r="CM8">
        <f t="shared" ca="1" si="6"/>
        <v>19</v>
      </c>
      <c r="CW8" t="s">
        <v>321</v>
      </c>
      <c r="CX8" t="s">
        <v>326</v>
      </c>
      <c r="DZ8" s="101"/>
      <c r="EA8" s="102"/>
      <c r="ED8" s="105">
        <v>0.5</v>
      </c>
      <c r="EF8" t="s">
        <v>411</v>
      </c>
      <c r="EI8" s="136"/>
      <c r="EJ8" s="137"/>
      <c r="EK8" s="138"/>
    </row>
    <row r="9" spans="1:148" ht="16.2" thickBot="1" x14ac:dyDescent="0.35">
      <c r="A9">
        <v>64</v>
      </c>
      <c r="B9">
        <v>121</v>
      </c>
      <c r="C9">
        <v>115</v>
      </c>
      <c r="D9">
        <v>96</v>
      </c>
      <c r="E9">
        <v>137</v>
      </c>
      <c r="J9">
        <f t="shared" si="1"/>
        <v>1</v>
      </c>
      <c r="K9">
        <f t="shared" si="2"/>
        <v>0</v>
      </c>
      <c r="L9">
        <f t="shared" si="3"/>
        <v>0</v>
      </c>
      <c r="M9">
        <f t="shared" si="4"/>
        <v>1</v>
      </c>
      <c r="N9">
        <f t="shared" si="5"/>
        <v>0</v>
      </c>
      <c r="AF9" t="s">
        <v>286</v>
      </c>
      <c r="AK9" s="70" t="s">
        <v>286</v>
      </c>
      <c r="AL9" s="72">
        <v>40832</v>
      </c>
      <c r="AM9"/>
      <c r="AY9"/>
      <c r="AZ9">
        <v>10479</v>
      </c>
      <c r="BA9">
        <v>10495.6</v>
      </c>
      <c r="BC9" s="13" t="s">
        <v>294</v>
      </c>
      <c r="BD9" s="13"/>
      <c r="BE9" s="13" t="s">
        <v>295</v>
      </c>
      <c r="BF9" s="13"/>
      <c r="BG9" s="13" t="s">
        <v>296</v>
      </c>
      <c r="BH9" s="75"/>
      <c r="BU9" t="s">
        <v>8</v>
      </c>
      <c r="BV9" t="s">
        <v>15</v>
      </c>
      <c r="BW9" s="62">
        <v>38067</v>
      </c>
      <c r="BX9">
        <v>10479</v>
      </c>
      <c r="BY9">
        <v>10495.6</v>
      </c>
      <c r="CM9">
        <f t="shared" ca="1" si="6"/>
        <v>38</v>
      </c>
      <c r="CW9" t="s">
        <v>322</v>
      </c>
      <c r="CX9" t="s">
        <v>313</v>
      </c>
      <c r="ED9" s="105"/>
      <c r="EF9" s="104">
        <v>-2121</v>
      </c>
      <c r="EI9" s="139"/>
      <c r="EJ9" s="140"/>
      <c r="EK9" s="141"/>
    </row>
    <row r="10" spans="1:148" ht="16.2" thickBot="1" x14ac:dyDescent="0.35">
      <c r="A10">
        <v>116</v>
      </c>
      <c r="B10">
        <v>122</v>
      </c>
      <c r="C10">
        <v>123</v>
      </c>
      <c r="D10">
        <v>82</v>
      </c>
      <c r="E10">
        <v>75</v>
      </c>
      <c r="J10">
        <f t="shared" si="1"/>
        <v>0</v>
      </c>
      <c r="K10">
        <f t="shared" si="2"/>
        <v>0</v>
      </c>
      <c r="L10">
        <f t="shared" si="3"/>
        <v>0</v>
      </c>
      <c r="M10">
        <f t="shared" si="4"/>
        <v>1</v>
      </c>
      <c r="N10">
        <f t="shared" si="5"/>
        <v>1</v>
      </c>
      <c r="AK10" s="70" t="s">
        <v>280</v>
      </c>
      <c r="AL10" s="72">
        <v>40833</v>
      </c>
      <c r="AM10"/>
      <c r="AW10" t="s">
        <v>8</v>
      </c>
      <c r="AX10" t="s">
        <v>15</v>
      </c>
      <c r="AY10" s="62">
        <v>38151</v>
      </c>
      <c r="AZ10">
        <v>10540</v>
      </c>
      <c r="BA10">
        <v>10191.700000000001</v>
      </c>
      <c r="BC10" s="75"/>
      <c r="BD10" s="75"/>
      <c r="BE10" s="75"/>
      <c r="BF10" s="75"/>
      <c r="BG10" s="75"/>
      <c r="BH10" s="75"/>
      <c r="BU10" t="s">
        <v>8</v>
      </c>
      <c r="BV10" t="s">
        <v>15</v>
      </c>
      <c r="BW10" s="62">
        <v>38151</v>
      </c>
      <c r="BX10">
        <v>10540</v>
      </c>
      <c r="BY10">
        <v>10191.700000000001</v>
      </c>
      <c r="CW10" t="s">
        <v>323</v>
      </c>
      <c r="CX10" t="s">
        <v>327</v>
      </c>
      <c r="ED10" s="105"/>
    </row>
    <row r="11" spans="1:148" ht="16.2" thickBot="1" x14ac:dyDescent="0.35">
      <c r="A11">
        <v>122</v>
      </c>
      <c r="B11">
        <v>58</v>
      </c>
      <c r="C11">
        <v>119</v>
      </c>
      <c r="D11">
        <v>140</v>
      </c>
      <c r="E11">
        <v>131</v>
      </c>
      <c r="J11">
        <f t="shared" si="1"/>
        <v>0</v>
      </c>
      <c r="K11">
        <f t="shared" si="2"/>
        <v>1</v>
      </c>
      <c r="L11">
        <f t="shared" si="3"/>
        <v>0</v>
      </c>
      <c r="M11">
        <f t="shared" si="4"/>
        <v>0</v>
      </c>
      <c r="N11">
        <f t="shared" si="5"/>
        <v>0</v>
      </c>
      <c r="AK11" s="70" t="s">
        <v>281</v>
      </c>
      <c r="AL11" s="72">
        <v>40834</v>
      </c>
      <c r="AM11"/>
      <c r="AW11" t="s">
        <v>8</v>
      </c>
      <c r="AX11" t="s">
        <v>18</v>
      </c>
      <c r="AY11" s="62">
        <v>38282</v>
      </c>
      <c r="AZ11">
        <v>10691</v>
      </c>
      <c r="BA11">
        <v>10164.799999999999</v>
      </c>
      <c r="BC11" s="78">
        <f t="array" ref="BC11">MAX(IF(YEAR($AY$2:$AY$800)&gt;=2008,IF($AW$2:$AW$800="USA",$BA$2:$BA$800,0)))</f>
        <v>16387.5</v>
      </c>
      <c r="BD11" s="75"/>
      <c r="BE11" s="78">
        <f t="array" ref="BE11">AVERAGE(IF(YEAR($AY$2:$AY$800)&gt;=2008,IF($AW$2:$AW$800="USA",$BA$2:$BA$800,"")))</f>
        <v>1570.8821205821203</v>
      </c>
      <c r="BF11" s="75"/>
      <c r="BG11" s="78">
        <f t="array" ref="BG11">MIN(IF(YEAR($AY$2:$AY$800)&gt;=2008,IF($AW$2:$AW$800="USA",$BA$2:$BA$800,"")))</f>
        <v>18.399999999999999</v>
      </c>
      <c r="BH11" s="75"/>
      <c r="BU11" t="s">
        <v>8</v>
      </c>
      <c r="BV11" t="s">
        <v>18</v>
      </c>
      <c r="BW11" s="62">
        <v>38282</v>
      </c>
      <c r="BX11">
        <v>10691</v>
      </c>
      <c r="BY11">
        <v>10164.799999999999</v>
      </c>
      <c r="CW11" t="s">
        <v>324</v>
      </c>
      <c r="ED11" s="105"/>
    </row>
    <row r="12" spans="1:148" x14ac:dyDescent="0.3">
      <c r="A12">
        <v>69</v>
      </c>
      <c r="B12">
        <v>140</v>
      </c>
      <c r="C12">
        <v>61</v>
      </c>
      <c r="D12">
        <v>81</v>
      </c>
      <c r="E12">
        <v>73</v>
      </c>
      <c r="J12">
        <f t="shared" si="1"/>
        <v>1</v>
      </c>
      <c r="K12">
        <f t="shared" si="2"/>
        <v>0</v>
      </c>
      <c r="L12">
        <f t="shared" si="3"/>
        <v>1</v>
      </c>
      <c r="M12">
        <f t="shared" si="4"/>
        <v>1</v>
      </c>
      <c r="N12">
        <f t="shared" si="5"/>
        <v>1</v>
      </c>
      <c r="AK12" s="70" t="s">
        <v>282</v>
      </c>
      <c r="AL12" s="72">
        <v>40835</v>
      </c>
      <c r="AM12"/>
      <c r="AW12" t="s">
        <v>8</v>
      </c>
      <c r="AX12" t="s">
        <v>18</v>
      </c>
      <c r="AY12" s="62">
        <v>38130</v>
      </c>
      <c r="AZ12">
        <v>10515</v>
      </c>
      <c r="BA12">
        <v>9921.2999999999993</v>
      </c>
      <c r="BU12" t="s">
        <v>8</v>
      </c>
      <c r="BV12" t="s">
        <v>18</v>
      </c>
      <c r="BW12" s="62">
        <v>38130</v>
      </c>
      <c r="BX12">
        <v>10515</v>
      </c>
      <c r="BY12">
        <v>9921.2999999999993</v>
      </c>
      <c r="CW12" t="s">
        <v>325</v>
      </c>
    </row>
    <row r="13" spans="1:148" x14ac:dyDescent="0.3">
      <c r="A13">
        <v>88</v>
      </c>
      <c r="B13">
        <v>55</v>
      </c>
      <c r="C13">
        <v>55</v>
      </c>
      <c r="D13">
        <v>63</v>
      </c>
      <c r="E13">
        <v>135</v>
      </c>
      <c r="J13">
        <f t="shared" si="1"/>
        <v>1</v>
      </c>
      <c r="K13">
        <f t="shared" si="2"/>
        <v>1</v>
      </c>
      <c r="L13">
        <f t="shared" si="3"/>
        <v>1</v>
      </c>
      <c r="M13">
        <f t="shared" si="4"/>
        <v>1</v>
      </c>
      <c r="N13">
        <f t="shared" si="5"/>
        <v>0</v>
      </c>
      <c r="AK13" s="70" t="s">
        <v>283</v>
      </c>
      <c r="AL13" s="72">
        <v>40836</v>
      </c>
      <c r="AM13"/>
      <c r="AW13" t="s">
        <v>7</v>
      </c>
      <c r="AX13" t="s">
        <v>17</v>
      </c>
      <c r="AY13" s="62">
        <v>37964</v>
      </c>
      <c r="AZ13">
        <v>10372</v>
      </c>
      <c r="BA13">
        <v>9210.9</v>
      </c>
      <c r="BU13" t="s">
        <v>7</v>
      </c>
      <c r="BV13" t="s">
        <v>17</v>
      </c>
      <c r="BW13" s="62">
        <v>37964</v>
      </c>
      <c r="BX13">
        <v>10372</v>
      </c>
      <c r="BY13">
        <v>9210.9</v>
      </c>
    </row>
    <row r="14" spans="1:148" x14ac:dyDescent="0.3">
      <c r="A14">
        <v>145</v>
      </c>
      <c r="B14">
        <v>120</v>
      </c>
      <c r="C14">
        <v>135</v>
      </c>
      <c r="D14">
        <v>119</v>
      </c>
      <c r="E14">
        <v>107</v>
      </c>
      <c r="J14">
        <f t="shared" si="1"/>
        <v>0</v>
      </c>
      <c r="K14">
        <f t="shared" si="2"/>
        <v>0</v>
      </c>
      <c r="L14">
        <f t="shared" si="3"/>
        <v>0</v>
      </c>
      <c r="M14">
        <f t="shared" si="4"/>
        <v>0</v>
      </c>
      <c r="N14">
        <f t="shared" si="5"/>
        <v>0</v>
      </c>
      <c r="AK14" s="70" t="s">
        <v>284</v>
      </c>
      <c r="AL14" s="72">
        <v>40837</v>
      </c>
      <c r="AM14"/>
      <c r="AW14" t="s">
        <v>7</v>
      </c>
      <c r="AX14" t="s">
        <v>288</v>
      </c>
      <c r="AY14" s="62">
        <v>38013</v>
      </c>
      <c r="AZ14">
        <v>10424</v>
      </c>
      <c r="BA14">
        <v>9194.56</v>
      </c>
      <c r="BU14" t="s">
        <v>7</v>
      </c>
      <c r="BV14" t="s">
        <v>288</v>
      </c>
      <c r="BW14" s="62">
        <v>38013</v>
      </c>
      <c r="BX14">
        <v>10424</v>
      </c>
      <c r="BY14">
        <v>9194.56</v>
      </c>
    </row>
    <row r="15" spans="1:148" ht="15.6" x14ac:dyDescent="0.3">
      <c r="AK15" s="70" t="s">
        <v>285</v>
      </c>
      <c r="AL15" s="72">
        <v>40838</v>
      </c>
      <c r="AM15"/>
      <c r="AW15" t="s">
        <v>8</v>
      </c>
      <c r="AX15" t="s">
        <v>18</v>
      </c>
      <c r="AY15" s="62">
        <v>38465</v>
      </c>
      <c r="AZ15">
        <v>11032</v>
      </c>
      <c r="BA15">
        <v>8902.5</v>
      </c>
      <c r="BC15" s="74" t="s">
        <v>335</v>
      </c>
      <c r="BD15" s="74"/>
      <c r="BE15" s="74"/>
      <c r="BF15" s="74"/>
      <c r="BU15" t="s">
        <v>8</v>
      </c>
      <c r="BV15" t="s">
        <v>18</v>
      </c>
      <c r="BW15" s="62">
        <v>38465</v>
      </c>
      <c r="BX15">
        <v>11032</v>
      </c>
      <c r="BY15">
        <v>8902.5</v>
      </c>
    </row>
    <row r="16" spans="1:148" x14ac:dyDescent="0.3">
      <c r="AK16" s="70" t="s">
        <v>279</v>
      </c>
      <c r="AL16" s="72">
        <v>40839</v>
      </c>
      <c r="AM16"/>
      <c r="AW16" t="s">
        <v>8</v>
      </c>
      <c r="AX16" t="s">
        <v>15</v>
      </c>
      <c r="AY16" s="62">
        <v>38123</v>
      </c>
      <c r="AZ16">
        <v>10514</v>
      </c>
      <c r="BA16">
        <v>8623.4500000000007</v>
      </c>
      <c r="BU16" t="s">
        <v>8</v>
      </c>
      <c r="BV16" t="s">
        <v>15</v>
      </c>
      <c r="BW16" s="62">
        <v>38123</v>
      </c>
      <c r="BX16">
        <v>10514</v>
      </c>
      <c r="BY16">
        <v>8623.4500000000007</v>
      </c>
    </row>
    <row r="17" spans="37:77" ht="15" thickBot="1" x14ac:dyDescent="0.35">
      <c r="AK17" s="70" t="s">
        <v>286</v>
      </c>
      <c r="AL17" s="72">
        <v>40840</v>
      </c>
      <c r="AM17"/>
      <c r="AW17" t="s">
        <v>7</v>
      </c>
      <c r="AX17" t="s">
        <v>288</v>
      </c>
      <c r="AY17" s="62">
        <v>37950</v>
      </c>
      <c r="AZ17">
        <v>10353</v>
      </c>
      <c r="BA17">
        <v>8593.2800000000007</v>
      </c>
      <c r="BC17" s="94"/>
      <c r="BU17" t="s">
        <v>7</v>
      </c>
      <c r="BV17" t="s">
        <v>288</v>
      </c>
      <c r="BW17" s="62">
        <v>37950</v>
      </c>
      <c r="BX17">
        <v>10353</v>
      </c>
      <c r="BY17">
        <v>8593.2800000000007</v>
      </c>
    </row>
    <row r="18" spans="37:77" ht="15" thickBot="1" x14ac:dyDescent="0.35">
      <c r="AK18" s="70" t="s">
        <v>280</v>
      </c>
      <c r="AL18" s="72">
        <v>40841</v>
      </c>
      <c r="AM18"/>
      <c r="AW18" t="s">
        <v>8</v>
      </c>
      <c r="AX18" t="s">
        <v>14</v>
      </c>
      <c r="AY18" s="62">
        <v>38387</v>
      </c>
      <c r="AZ18">
        <v>10816</v>
      </c>
      <c r="BA18">
        <v>8446.4500000000007</v>
      </c>
      <c r="BC18" s="78">
        <f t="array" ref="BC18">SUM(LARGE($BA$2:$BA$800,{1,2,3,4,5}))</f>
        <v>67380.95</v>
      </c>
      <c r="BU18" t="s">
        <v>8</v>
      </c>
      <c r="BV18" t="s">
        <v>14</v>
      </c>
      <c r="BW18" s="62">
        <v>38387</v>
      </c>
      <c r="BX18">
        <v>10816</v>
      </c>
      <c r="BY18">
        <v>8446.4500000000007</v>
      </c>
    </row>
    <row r="19" spans="37:77" x14ac:dyDescent="0.3">
      <c r="AK19" s="70" t="s">
        <v>281</v>
      </c>
      <c r="AL19" s="72">
        <v>40842</v>
      </c>
      <c r="AM19"/>
      <c r="AW19" t="s">
        <v>8</v>
      </c>
      <c r="AX19" t="s">
        <v>14</v>
      </c>
      <c r="AY19" s="62">
        <v>37957</v>
      </c>
      <c r="AZ19">
        <v>10360</v>
      </c>
      <c r="BA19">
        <v>7390.2</v>
      </c>
      <c r="BU19" t="s">
        <v>8</v>
      </c>
      <c r="BV19" t="s">
        <v>14</v>
      </c>
      <c r="BW19" s="62">
        <v>37957</v>
      </c>
      <c r="BX19">
        <v>10360</v>
      </c>
      <c r="BY19">
        <v>7390.2</v>
      </c>
    </row>
    <row r="20" spans="37:77" x14ac:dyDescent="0.3">
      <c r="AK20" s="70" t="s">
        <v>282</v>
      </c>
      <c r="AL20" s="72">
        <v>40843</v>
      </c>
      <c r="AM20"/>
      <c r="AW20" t="s">
        <v>7</v>
      </c>
      <c r="AX20" t="s">
        <v>16</v>
      </c>
      <c r="AY20" s="62">
        <v>38462</v>
      </c>
      <c r="AZ20">
        <v>11017</v>
      </c>
      <c r="BA20">
        <v>6750</v>
      </c>
      <c r="BU20" t="s">
        <v>7</v>
      </c>
      <c r="BV20" t="s">
        <v>16</v>
      </c>
      <c r="BW20" s="62">
        <v>38462</v>
      </c>
      <c r="BX20">
        <v>11017</v>
      </c>
      <c r="BY20">
        <v>6750</v>
      </c>
    </row>
    <row r="21" spans="37:77" x14ac:dyDescent="0.3">
      <c r="AK21" s="70" t="s">
        <v>283</v>
      </c>
      <c r="AL21" s="72">
        <v>40844</v>
      </c>
      <c r="AM21"/>
      <c r="AW21" t="s">
        <v>8</v>
      </c>
      <c r="AX21" t="s">
        <v>287</v>
      </c>
      <c r="AY21" s="62">
        <v>38339</v>
      </c>
      <c r="AZ21">
        <v>10776</v>
      </c>
      <c r="BA21">
        <v>6635.27</v>
      </c>
      <c r="BU21" t="s">
        <v>8</v>
      </c>
      <c r="BV21" t="s">
        <v>287</v>
      </c>
      <c r="BW21" s="62">
        <v>38339</v>
      </c>
      <c r="BX21">
        <v>10776</v>
      </c>
      <c r="BY21">
        <v>6635.27</v>
      </c>
    </row>
    <row r="22" spans="37:77" x14ac:dyDescent="0.3">
      <c r="AK22" s="70" t="s">
        <v>284</v>
      </c>
      <c r="AL22" s="72">
        <v>40845</v>
      </c>
      <c r="AM22"/>
      <c r="AW22" t="s">
        <v>7</v>
      </c>
      <c r="AX22" t="s">
        <v>17</v>
      </c>
      <c r="AY22" s="62">
        <v>38193</v>
      </c>
      <c r="AZ22">
        <v>10607</v>
      </c>
      <c r="BA22">
        <v>6475.4</v>
      </c>
      <c r="BU22" t="s">
        <v>7</v>
      </c>
      <c r="BV22" t="s">
        <v>17</v>
      </c>
      <c r="BW22" s="62">
        <v>38193</v>
      </c>
      <c r="BX22">
        <v>10607</v>
      </c>
      <c r="BY22">
        <v>6475.4</v>
      </c>
    </row>
    <row r="23" spans="37:77" x14ac:dyDescent="0.3">
      <c r="AK23" s="70" t="s">
        <v>285</v>
      </c>
      <c r="AL23" s="72">
        <v>40846</v>
      </c>
      <c r="AM23"/>
      <c r="AW23" t="s">
        <v>8</v>
      </c>
      <c r="AX23" t="s">
        <v>15</v>
      </c>
      <c r="AY23" s="62">
        <v>38406</v>
      </c>
      <c r="AZ23">
        <v>10895</v>
      </c>
      <c r="BA23">
        <v>6379.4</v>
      </c>
      <c r="BU23" t="s">
        <v>8</v>
      </c>
      <c r="BV23" t="s">
        <v>15</v>
      </c>
      <c r="BW23" s="62">
        <v>38406</v>
      </c>
      <c r="BX23">
        <v>10895</v>
      </c>
      <c r="BY23">
        <v>6379.4</v>
      </c>
    </row>
    <row r="24" spans="37:77" x14ac:dyDescent="0.3">
      <c r="AK24" s="70" t="s">
        <v>279</v>
      </c>
      <c r="AL24" s="72">
        <v>40847</v>
      </c>
      <c r="AM24"/>
      <c r="AW24" t="s">
        <v>8</v>
      </c>
      <c r="AX24" t="s">
        <v>287</v>
      </c>
      <c r="AY24" s="62">
        <v>38200</v>
      </c>
      <c r="AZ24">
        <v>10612</v>
      </c>
      <c r="BA24">
        <v>6375</v>
      </c>
      <c r="BU24" t="s">
        <v>8</v>
      </c>
      <c r="BV24" t="s">
        <v>287</v>
      </c>
      <c r="BW24" s="62">
        <v>38200</v>
      </c>
      <c r="BX24">
        <v>10612</v>
      </c>
      <c r="BY24">
        <v>6375</v>
      </c>
    </row>
    <row r="25" spans="37:77" x14ac:dyDescent="0.3">
      <c r="AK25" s="70" t="s">
        <v>286</v>
      </c>
      <c r="AL25" s="72">
        <v>40848</v>
      </c>
      <c r="AM25"/>
      <c r="AW25" t="s">
        <v>8</v>
      </c>
      <c r="AX25" t="s">
        <v>15</v>
      </c>
      <c r="AY25" s="62">
        <v>38463</v>
      </c>
      <c r="AZ25">
        <v>11021</v>
      </c>
      <c r="BA25">
        <v>6306.24</v>
      </c>
      <c r="BU25" t="s">
        <v>8</v>
      </c>
      <c r="BV25" t="s">
        <v>15</v>
      </c>
      <c r="BW25" s="62">
        <v>38463</v>
      </c>
      <c r="BX25">
        <v>11021</v>
      </c>
      <c r="BY25">
        <v>6306.24</v>
      </c>
    </row>
    <row r="26" spans="37:77" x14ac:dyDescent="0.3">
      <c r="AK26" s="70" t="s">
        <v>280</v>
      </c>
      <c r="AL26" s="72">
        <v>40849</v>
      </c>
      <c r="AM26"/>
      <c r="AW26" t="s">
        <v>8</v>
      </c>
      <c r="AX26" t="s">
        <v>18</v>
      </c>
      <c r="AY26" s="62">
        <v>38429</v>
      </c>
      <c r="AZ26">
        <v>10912</v>
      </c>
      <c r="BA26">
        <v>6200.55</v>
      </c>
      <c r="BU26" t="s">
        <v>8</v>
      </c>
      <c r="BV26" t="s">
        <v>18</v>
      </c>
      <c r="BW26" s="62">
        <v>38429</v>
      </c>
      <c r="BX26">
        <v>10912</v>
      </c>
      <c r="BY26">
        <v>6200.55</v>
      </c>
    </row>
    <row r="27" spans="37:77" x14ac:dyDescent="0.3">
      <c r="AK27" s="70" t="s">
        <v>281</v>
      </c>
      <c r="AL27" s="72">
        <v>40850</v>
      </c>
      <c r="AM27"/>
      <c r="AW27" t="s">
        <v>8</v>
      </c>
      <c r="AX27" t="s">
        <v>14</v>
      </c>
      <c r="AY27" s="62">
        <v>38210</v>
      </c>
      <c r="AZ27">
        <v>10622</v>
      </c>
      <c r="BA27">
        <v>5560</v>
      </c>
      <c r="BU27" t="s">
        <v>8</v>
      </c>
      <c r="BV27" t="s">
        <v>14</v>
      </c>
      <c r="BW27" s="62">
        <v>38210</v>
      </c>
      <c r="BX27">
        <v>10622</v>
      </c>
      <c r="BY27">
        <v>5560</v>
      </c>
    </row>
    <row r="28" spans="37:77" x14ac:dyDescent="0.3">
      <c r="AK28" s="70" t="s">
        <v>282</v>
      </c>
      <c r="AL28" s="72">
        <v>40851</v>
      </c>
      <c r="AM28"/>
      <c r="AW28" t="s">
        <v>7</v>
      </c>
      <c r="AX28" t="s">
        <v>288</v>
      </c>
      <c r="AY28" s="62">
        <v>38217</v>
      </c>
      <c r="AZ28">
        <v>10633</v>
      </c>
      <c r="BA28">
        <v>5510.59</v>
      </c>
      <c r="BU28" t="s">
        <v>7</v>
      </c>
      <c r="BV28" t="s">
        <v>288</v>
      </c>
      <c r="BW28" s="62">
        <v>38217</v>
      </c>
      <c r="BX28">
        <v>10633</v>
      </c>
      <c r="BY28">
        <v>5510.59</v>
      </c>
    </row>
    <row r="29" spans="37:77" x14ac:dyDescent="0.3">
      <c r="AK29" s="70" t="s">
        <v>283</v>
      </c>
      <c r="AL29" s="72">
        <v>40852</v>
      </c>
      <c r="AM29"/>
      <c r="AW29" t="s">
        <v>7</v>
      </c>
      <c r="AX29" t="s">
        <v>16</v>
      </c>
      <c r="AY29" s="62">
        <v>38403</v>
      </c>
      <c r="AZ29">
        <v>10893</v>
      </c>
      <c r="BA29">
        <v>5502.11</v>
      </c>
      <c r="BU29" t="s">
        <v>7</v>
      </c>
      <c r="BV29" t="s">
        <v>16</v>
      </c>
      <c r="BW29" s="62">
        <v>38403</v>
      </c>
      <c r="BX29">
        <v>10893</v>
      </c>
      <c r="BY29">
        <v>5502.11</v>
      </c>
    </row>
    <row r="30" spans="37:77" x14ac:dyDescent="0.3">
      <c r="AK30" s="70" t="s">
        <v>284</v>
      </c>
      <c r="AL30" s="72">
        <v>40853</v>
      </c>
      <c r="AM30"/>
      <c r="AW30" t="s">
        <v>8</v>
      </c>
      <c r="AX30" t="s">
        <v>287</v>
      </c>
      <c r="AY30" s="62">
        <v>37945</v>
      </c>
      <c r="AZ30">
        <v>10351</v>
      </c>
      <c r="BA30">
        <v>5398.72</v>
      </c>
      <c r="BU30" t="s">
        <v>8</v>
      </c>
      <c r="BV30" t="s">
        <v>287</v>
      </c>
      <c r="BW30" s="62">
        <v>37945</v>
      </c>
      <c r="BX30">
        <v>10351</v>
      </c>
      <c r="BY30">
        <v>5398.72</v>
      </c>
    </row>
    <row r="31" spans="37:77" x14ac:dyDescent="0.3">
      <c r="AK31" s="70" t="s">
        <v>285</v>
      </c>
      <c r="AL31" s="72">
        <v>40854</v>
      </c>
      <c r="AM31"/>
      <c r="AW31" t="s">
        <v>7</v>
      </c>
      <c r="AX31" t="s">
        <v>16</v>
      </c>
      <c r="AY31" s="62">
        <v>37904</v>
      </c>
      <c r="AZ31">
        <v>10324</v>
      </c>
      <c r="BA31">
        <v>5275.71</v>
      </c>
      <c r="BU31" t="s">
        <v>7</v>
      </c>
      <c r="BV31" t="s">
        <v>16</v>
      </c>
      <c r="BW31" s="62">
        <v>37904</v>
      </c>
      <c r="BX31">
        <v>10324</v>
      </c>
      <c r="BY31">
        <v>5275.71</v>
      </c>
    </row>
    <row r="32" spans="37:77" x14ac:dyDescent="0.3">
      <c r="AK32" s="70" t="s">
        <v>279</v>
      </c>
      <c r="AL32" s="72">
        <v>40855</v>
      </c>
      <c r="AM32"/>
      <c r="AW32" t="s">
        <v>7</v>
      </c>
      <c r="AX32" t="s">
        <v>288</v>
      </c>
      <c r="AY32" s="62">
        <v>38276</v>
      </c>
      <c r="AZ32">
        <v>10678</v>
      </c>
      <c r="BA32">
        <v>5256.5</v>
      </c>
      <c r="BU32" t="s">
        <v>7</v>
      </c>
      <c r="BV32" t="s">
        <v>288</v>
      </c>
      <c r="BW32" s="62">
        <v>38276</v>
      </c>
      <c r="BX32">
        <v>10678</v>
      </c>
      <c r="BY32">
        <v>5256.5</v>
      </c>
    </row>
    <row r="33" spans="37:77" x14ac:dyDescent="0.3">
      <c r="AK33" s="70" t="s">
        <v>286</v>
      </c>
      <c r="AL33" s="72">
        <v>40856</v>
      </c>
      <c r="AM33"/>
      <c r="AW33" t="s">
        <v>8</v>
      </c>
      <c r="AX33" t="s">
        <v>14</v>
      </c>
      <c r="AY33" s="62">
        <v>38220</v>
      </c>
      <c r="AZ33">
        <v>10634</v>
      </c>
      <c r="BA33">
        <v>4985.5</v>
      </c>
      <c r="BU33" t="s">
        <v>8</v>
      </c>
      <c r="BV33" t="s">
        <v>14</v>
      </c>
      <c r="BW33" s="62">
        <v>38220</v>
      </c>
      <c r="BX33">
        <v>10634</v>
      </c>
      <c r="BY33">
        <v>4985.5</v>
      </c>
    </row>
    <row r="34" spans="37:77" x14ac:dyDescent="0.3">
      <c r="AK34" s="70" t="s">
        <v>280</v>
      </c>
      <c r="AL34" s="72">
        <v>40857</v>
      </c>
      <c r="AM34"/>
      <c r="AW34" t="s">
        <v>7</v>
      </c>
      <c r="AX34" t="s">
        <v>16</v>
      </c>
      <c r="AY34" s="62">
        <v>38290</v>
      </c>
      <c r="AZ34">
        <v>10687</v>
      </c>
      <c r="BA34">
        <v>4960.8999999999996</v>
      </c>
      <c r="BU34" t="s">
        <v>7</v>
      </c>
      <c r="BV34" t="s">
        <v>16</v>
      </c>
      <c r="BW34" s="62">
        <v>38290</v>
      </c>
      <c r="BX34">
        <v>10687</v>
      </c>
      <c r="BY34">
        <v>4960.8999999999996</v>
      </c>
    </row>
    <row r="35" spans="37:77" x14ac:dyDescent="0.3">
      <c r="AK35" s="70" t="s">
        <v>281</v>
      </c>
      <c r="AL35" s="72">
        <v>40858</v>
      </c>
      <c r="AM35"/>
      <c r="AW35" t="s">
        <v>8</v>
      </c>
      <c r="AX35" t="s">
        <v>14</v>
      </c>
      <c r="AY35" s="62">
        <v>38393</v>
      </c>
      <c r="AZ35">
        <v>10847</v>
      </c>
      <c r="BA35">
        <v>4931.92</v>
      </c>
      <c r="BU35" t="s">
        <v>8</v>
      </c>
      <c r="BV35" t="s">
        <v>14</v>
      </c>
      <c r="BW35" s="62">
        <v>38393</v>
      </c>
      <c r="BX35">
        <v>10847</v>
      </c>
      <c r="BY35">
        <v>4931.92</v>
      </c>
    </row>
    <row r="36" spans="37:77" x14ac:dyDescent="0.3">
      <c r="AK36" s="70" t="s">
        <v>282</v>
      </c>
      <c r="AL36" s="72">
        <v>40859</v>
      </c>
      <c r="AM36"/>
      <c r="AW36" t="s">
        <v>8</v>
      </c>
      <c r="AX36" t="s">
        <v>14</v>
      </c>
      <c r="AY36" s="62">
        <v>38045</v>
      </c>
      <c r="AZ36">
        <v>10440</v>
      </c>
      <c r="BA36">
        <v>4924.13</v>
      </c>
      <c r="BU36" t="s">
        <v>8</v>
      </c>
      <c r="BV36" t="s">
        <v>14</v>
      </c>
      <c r="BW36" s="62">
        <v>38045</v>
      </c>
      <c r="BX36">
        <v>10440</v>
      </c>
      <c r="BY36">
        <v>4924.13</v>
      </c>
    </row>
    <row r="37" spans="37:77" x14ac:dyDescent="0.3">
      <c r="AK37" s="70" t="s">
        <v>283</v>
      </c>
      <c r="AL37" s="72">
        <v>40860</v>
      </c>
      <c r="AM37"/>
      <c r="AW37" t="s">
        <v>8</v>
      </c>
      <c r="AX37" t="s">
        <v>14</v>
      </c>
      <c r="AY37" s="62">
        <v>38020</v>
      </c>
      <c r="AZ37">
        <v>10430</v>
      </c>
      <c r="BA37">
        <v>4899.2</v>
      </c>
      <c r="BU37" t="s">
        <v>8</v>
      </c>
      <c r="BV37" t="s">
        <v>14</v>
      </c>
      <c r="BW37" s="62">
        <v>38020</v>
      </c>
      <c r="BX37">
        <v>10430</v>
      </c>
      <c r="BY37">
        <v>4899.2</v>
      </c>
    </row>
    <row r="38" spans="37:77" x14ac:dyDescent="0.3">
      <c r="AK38" s="70" t="s">
        <v>284</v>
      </c>
      <c r="AL38" s="72">
        <v>40861</v>
      </c>
      <c r="AM38"/>
      <c r="AW38" t="s">
        <v>7</v>
      </c>
      <c r="AX38" t="s">
        <v>288</v>
      </c>
      <c r="AY38" s="62">
        <v>38452</v>
      </c>
      <c r="AZ38">
        <v>10993</v>
      </c>
      <c r="BA38">
        <v>4895.4399999999996</v>
      </c>
      <c r="BU38" t="s">
        <v>7</v>
      </c>
      <c r="BV38" t="s">
        <v>288</v>
      </c>
      <c r="BW38" s="62">
        <v>38452</v>
      </c>
      <c r="BX38">
        <v>10993</v>
      </c>
      <c r="BY38">
        <v>4895.4399999999996</v>
      </c>
    </row>
    <row r="39" spans="37:77" x14ac:dyDescent="0.3">
      <c r="AK39" s="70" t="s">
        <v>285</v>
      </c>
      <c r="AL39" s="72">
        <v>40862</v>
      </c>
      <c r="AM39"/>
      <c r="AW39" t="s">
        <v>8</v>
      </c>
      <c r="AX39" t="s">
        <v>289</v>
      </c>
      <c r="AY39" s="62">
        <v>38269</v>
      </c>
      <c r="AZ39">
        <v>10694</v>
      </c>
      <c r="BA39">
        <v>4825</v>
      </c>
      <c r="BU39" t="s">
        <v>8</v>
      </c>
      <c r="BV39" t="s">
        <v>289</v>
      </c>
      <c r="BW39" s="62">
        <v>38269</v>
      </c>
      <c r="BX39">
        <v>10694</v>
      </c>
      <c r="BY39">
        <v>4825</v>
      </c>
    </row>
    <row r="40" spans="37:77" x14ac:dyDescent="0.3">
      <c r="AK40" s="70" t="s">
        <v>279</v>
      </c>
      <c r="AL40" s="72">
        <v>40863</v>
      </c>
      <c r="AM40"/>
      <c r="AW40" t="s">
        <v>8</v>
      </c>
      <c r="AX40" t="s">
        <v>289</v>
      </c>
      <c r="AY40" s="62">
        <v>38442</v>
      </c>
      <c r="AZ40">
        <v>10979</v>
      </c>
      <c r="BA40">
        <v>4813.5</v>
      </c>
      <c r="BU40" t="s">
        <v>8</v>
      </c>
      <c r="BV40" t="s">
        <v>289</v>
      </c>
      <c r="BW40" s="62">
        <v>38442</v>
      </c>
      <c r="BX40">
        <v>10979</v>
      </c>
      <c r="BY40">
        <v>4813.5</v>
      </c>
    </row>
    <row r="41" spans="37:77" x14ac:dyDescent="0.3">
      <c r="AK41" s="70" t="s">
        <v>286</v>
      </c>
      <c r="AL41" s="72">
        <v>40864</v>
      </c>
      <c r="AM41"/>
      <c r="AW41" t="s">
        <v>8</v>
      </c>
      <c r="AX41" t="s">
        <v>287</v>
      </c>
      <c r="AY41" s="62">
        <v>38204</v>
      </c>
      <c r="AZ41">
        <v>10616</v>
      </c>
      <c r="BA41">
        <v>4806.99</v>
      </c>
      <c r="BU41" t="s">
        <v>8</v>
      </c>
      <c r="BV41" t="s">
        <v>287</v>
      </c>
      <c r="BW41" s="62">
        <v>38204</v>
      </c>
      <c r="BX41">
        <v>10616</v>
      </c>
      <c r="BY41">
        <v>4806.99</v>
      </c>
    </row>
    <row r="42" spans="37:77" x14ac:dyDescent="0.3">
      <c r="AK42" s="70" t="s">
        <v>280</v>
      </c>
      <c r="AL42" s="72">
        <v>40865</v>
      </c>
      <c r="AM42"/>
      <c r="AW42" t="s">
        <v>8</v>
      </c>
      <c r="AX42" t="s">
        <v>18</v>
      </c>
      <c r="AY42" s="62">
        <v>38182</v>
      </c>
      <c r="AZ42">
        <v>10595</v>
      </c>
      <c r="BA42">
        <v>4725</v>
      </c>
      <c r="BU42" t="s">
        <v>8</v>
      </c>
      <c r="BV42" t="s">
        <v>18</v>
      </c>
      <c r="BW42" s="62">
        <v>38182</v>
      </c>
      <c r="BX42">
        <v>10595</v>
      </c>
      <c r="BY42">
        <v>4725</v>
      </c>
    </row>
    <row r="43" spans="37:77" x14ac:dyDescent="0.3">
      <c r="AK43" s="70" t="s">
        <v>281</v>
      </c>
      <c r="AL43" s="72">
        <v>40866</v>
      </c>
      <c r="AM43"/>
      <c r="AW43" t="s">
        <v>7</v>
      </c>
      <c r="AX43" t="s">
        <v>13</v>
      </c>
      <c r="AY43" s="62">
        <v>38105</v>
      </c>
      <c r="AZ43">
        <v>10510</v>
      </c>
      <c r="BA43">
        <v>4707.54</v>
      </c>
      <c r="BU43" t="s">
        <v>7</v>
      </c>
      <c r="BV43" t="s">
        <v>13</v>
      </c>
      <c r="BW43" s="62">
        <v>38105</v>
      </c>
      <c r="BX43">
        <v>10510</v>
      </c>
      <c r="BY43">
        <v>4707.54</v>
      </c>
    </row>
    <row r="44" spans="37:77" x14ac:dyDescent="0.3">
      <c r="AK44" s="70" t="s">
        <v>282</v>
      </c>
      <c r="AL44" s="72">
        <v>40867</v>
      </c>
      <c r="AM44"/>
      <c r="AW44" t="s">
        <v>7</v>
      </c>
      <c r="AX44" t="s">
        <v>288</v>
      </c>
      <c r="AY44" s="62">
        <v>38373</v>
      </c>
      <c r="AZ44">
        <v>10836</v>
      </c>
      <c r="BA44">
        <v>4705.5</v>
      </c>
      <c r="BU44" t="s">
        <v>7</v>
      </c>
      <c r="BV44" t="s">
        <v>288</v>
      </c>
      <c r="BW44" s="62">
        <v>38373</v>
      </c>
      <c r="BX44">
        <v>10836</v>
      </c>
      <c r="BY44">
        <v>4705.5</v>
      </c>
    </row>
    <row r="45" spans="37:77" x14ac:dyDescent="0.3">
      <c r="AK45" s="70" t="s">
        <v>283</v>
      </c>
      <c r="AL45" s="72">
        <v>40868</v>
      </c>
      <c r="AM45"/>
      <c r="AW45" t="s">
        <v>7</v>
      </c>
      <c r="AX45" t="s">
        <v>288</v>
      </c>
      <c r="AY45" s="62">
        <v>38252</v>
      </c>
      <c r="AZ45">
        <v>10666</v>
      </c>
      <c r="BA45">
        <v>4666.9399999999996</v>
      </c>
      <c r="BU45" t="s">
        <v>7</v>
      </c>
      <c r="BV45" t="s">
        <v>288</v>
      </c>
      <c r="BW45" s="62">
        <v>38252</v>
      </c>
      <c r="BX45">
        <v>10666</v>
      </c>
      <c r="BY45">
        <v>4666.9399999999996</v>
      </c>
    </row>
    <row r="46" spans="37:77" x14ac:dyDescent="0.3">
      <c r="AK46" s="70" t="s">
        <v>284</v>
      </c>
      <c r="AL46" s="72">
        <v>40869</v>
      </c>
      <c r="AM46"/>
      <c r="AW46" t="s">
        <v>7</v>
      </c>
      <c r="AX46" t="s">
        <v>17</v>
      </c>
      <c r="AY46" s="62">
        <v>38381</v>
      </c>
      <c r="AZ46">
        <v>10841</v>
      </c>
      <c r="BA46">
        <v>4581</v>
      </c>
      <c r="BU46" t="s">
        <v>7</v>
      </c>
      <c r="BV46" t="s">
        <v>17</v>
      </c>
      <c r="BW46" s="62">
        <v>38381</v>
      </c>
      <c r="BX46">
        <v>10841</v>
      </c>
      <c r="BY46">
        <v>4581</v>
      </c>
    </row>
    <row r="47" spans="37:77" x14ac:dyDescent="0.3">
      <c r="AK47" s="70" t="s">
        <v>285</v>
      </c>
      <c r="AL47" s="72">
        <v>40870</v>
      </c>
      <c r="AM47"/>
      <c r="AW47" t="s">
        <v>8</v>
      </c>
      <c r="AX47" t="s">
        <v>14</v>
      </c>
      <c r="AY47" s="62">
        <v>37917</v>
      </c>
      <c r="AZ47">
        <v>10329</v>
      </c>
      <c r="BA47">
        <v>4578.43</v>
      </c>
      <c r="BU47" t="s">
        <v>8</v>
      </c>
      <c r="BV47" t="s">
        <v>14</v>
      </c>
      <c r="BW47" s="62">
        <v>37917</v>
      </c>
      <c r="BX47">
        <v>10329</v>
      </c>
      <c r="BY47">
        <v>4578.43</v>
      </c>
    </row>
    <row r="48" spans="37:77" x14ac:dyDescent="0.3">
      <c r="AK48" s="70" t="s">
        <v>279</v>
      </c>
      <c r="AL48" s="72">
        <v>40871</v>
      </c>
      <c r="AM48"/>
      <c r="AW48" t="s">
        <v>7</v>
      </c>
      <c r="AX48" t="s">
        <v>16</v>
      </c>
      <c r="AY48" s="62">
        <v>38318</v>
      </c>
      <c r="AZ48">
        <v>10745</v>
      </c>
      <c r="BA48">
        <v>4529.8</v>
      </c>
      <c r="BU48" t="s">
        <v>7</v>
      </c>
      <c r="BV48" t="s">
        <v>16</v>
      </c>
      <c r="BW48" s="62">
        <v>38318</v>
      </c>
      <c r="BX48">
        <v>10745</v>
      </c>
      <c r="BY48">
        <v>4529.8</v>
      </c>
    </row>
    <row r="49" spans="37:77" x14ac:dyDescent="0.3">
      <c r="AK49" s="70" t="s">
        <v>286</v>
      </c>
      <c r="AL49" s="72">
        <v>40872</v>
      </c>
      <c r="AM49"/>
      <c r="AW49" t="s">
        <v>8</v>
      </c>
      <c r="AX49" t="s">
        <v>14</v>
      </c>
      <c r="AY49" s="62">
        <v>38238</v>
      </c>
      <c r="AZ49">
        <v>10658</v>
      </c>
      <c r="BA49">
        <v>4464.6000000000004</v>
      </c>
      <c r="BU49" t="s">
        <v>8</v>
      </c>
      <c r="BV49" t="s">
        <v>14</v>
      </c>
      <c r="BW49" s="62">
        <v>38238</v>
      </c>
      <c r="BX49">
        <v>10658</v>
      </c>
      <c r="BY49">
        <v>4464.6000000000004</v>
      </c>
    </row>
    <row r="50" spans="37:77" x14ac:dyDescent="0.3">
      <c r="AK50" s="70" t="s">
        <v>280</v>
      </c>
      <c r="AL50" s="72">
        <v>40873</v>
      </c>
      <c r="AM50"/>
      <c r="AW50" t="s">
        <v>7</v>
      </c>
      <c r="AX50" t="s">
        <v>17</v>
      </c>
      <c r="AY50" s="62">
        <v>38289</v>
      </c>
      <c r="AZ50">
        <v>10711</v>
      </c>
      <c r="BA50">
        <v>4451.7</v>
      </c>
      <c r="BU50" t="s">
        <v>7</v>
      </c>
      <c r="BV50" t="s">
        <v>17</v>
      </c>
      <c r="BW50" s="62">
        <v>38289</v>
      </c>
      <c r="BX50">
        <v>10711</v>
      </c>
      <c r="BY50">
        <v>4451.7</v>
      </c>
    </row>
    <row r="51" spans="37:77" x14ac:dyDescent="0.3">
      <c r="AK51" s="70" t="s">
        <v>281</v>
      </c>
      <c r="AL51" s="72">
        <v>40874</v>
      </c>
      <c r="AM51"/>
      <c r="AW51" t="s">
        <v>7</v>
      </c>
      <c r="AX51" t="s">
        <v>16</v>
      </c>
      <c r="AY51" s="62">
        <v>38436</v>
      </c>
      <c r="AZ51">
        <v>10953</v>
      </c>
      <c r="BA51">
        <v>4441.25</v>
      </c>
      <c r="BU51" t="s">
        <v>7</v>
      </c>
      <c r="BV51" t="s">
        <v>16</v>
      </c>
      <c r="BW51" s="62">
        <v>38436</v>
      </c>
      <c r="BX51">
        <v>10953</v>
      </c>
      <c r="BY51">
        <v>4441.25</v>
      </c>
    </row>
    <row r="52" spans="37:77" x14ac:dyDescent="0.3">
      <c r="AK52" s="70" t="s">
        <v>282</v>
      </c>
      <c r="AL52" s="72">
        <v>40875</v>
      </c>
      <c r="AM52"/>
      <c r="AW52" t="s">
        <v>8</v>
      </c>
      <c r="AX52" t="s">
        <v>18</v>
      </c>
      <c r="AY52" s="62">
        <v>38428</v>
      </c>
      <c r="AZ52">
        <v>10949</v>
      </c>
      <c r="BA52">
        <v>4422</v>
      </c>
      <c r="BU52" t="s">
        <v>8</v>
      </c>
      <c r="BV52" t="s">
        <v>18</v>
      </c>
      <c r="BW52" s="62">
        <v>38428</v>
      </c>
      <c r="BX52">
        <v>10949</v>
      </c>
      <c r="BY52">
        <v>4422</v>
      </c>
    </row>
    <row r="53" spans="37:77" x14ac:dyDescent="0.3">
      <c r="AK53" s="70" t="s">
        <v>283</v>
      </c>
      <c r="AL53" s="72">
        <v>40876</v>
      </c>
      <c r="AM53"/>
      <c r="AW53" t="s">
        <v>8</v>
      </c>
      <c r="AX53" t="s">
        <v>18</v>
      </c>
      <c r="AY53" s="62">
        <v>38245</v>
      </c>
      <c r="AZ53">
        <v>10657</v>
      </c>
      <c r="BA53">
        <v>4371.6000000000004</v>
      </c>
      <c r="BU53" t="s">
        <v>8</v>
      </c>
      <c r="BV53" t="s">
        <v>18</v>
      </c>
      <c r="BW53" s="62">
        <v>38245</v>
      </c>
      <c r="BX53">
        <v>10657</v>
      </c>
      <c r="BY53">
        <v>4371.6000000000004</v>
      </c>
    </row>
    <row r="54" spans="37:77" x14ac:dyDescent="0.3">
      <c r="AK54" s="70" t="s">
        <v>284</v>
      </c>
      <c r="AL54" s="72">
        <v>40877</v>
      </c>
      <c r="AM54"/>
      <c r="AW54" t="s">
        <v>8</v>
      </c>
      <c r="AX54" t="s">
        <v>15</v>
      </c>
      <c r="AY54" s="62">
        <v>38330</v>
      </c>
      <c r="AZ54">
        <v>10762</v>
      </c>
      <c r="BA54">
        <v>4337</v>
      </c>
      <c r="BU54" t="s">
        <v>8</v>
      </c>
      <c r="BV54" t="s">
        <v>15</v>
      </c>
      <c r="BW54" s="62">
        <v>38330</v>
      </c>
      <c r="BX54">
        <v>10762</v>
      </c>
      <c r="BY54">
        <v>4337</v>
      </c>
    </row>
    <row r="55" spans="37:77" x14ac:dyDescent="0.3">
      <c r="AK55" s="70" t="s">
        <v>285</v>
      </c>
      <c r="AL55" s="72">
        <v>40878</v>
      </c>
      <c r="AM55"/>
      <c r="AW55" t="s">
        <v>8</v>
      </c>
      <c r="AX55" t="s">
        <v>18</v>
      </c>
      <c r="AY55" s="62">
        <v>38449</v>
      </c>
      <c r="AZ55">
        <v>10990</v>
      </c>
      <c r="BA55">
        <v>4288.8500000000004</v>
      </c>
      <c r="BU55" t="s">
        <v>8</v>
      </c>
      <c r="BV55" t="s">
        <v>18</v>
      </c>
      <c r="BW55" s="62">
        <v>38449</v>
      </c>
      <c r="BX55">
        <v>10990</v>
      </c>
      <c r="BY55">
        <v>4288.8500000000004</v>
      </c>
    </row>
    <row r="56" spans="37:77" x14ac:dyDescent="0.3">
      <c r="AK56" s="70" t="s">
        <v>279</v>
      </c>
      <c r="AL56" s="72">
        <v>40879</v>
      </c>
      <c r="AM56"/>
      <c r="AW56" t="s">
        <v>8</v>
      </c>
      <c r="AX56" t="s">
        <v>15</v>
      </c>
      <c r="AY56" s="62">
        <v>38119</v>
      </c>
      <c r="AZ56">
        <v>10530</v>
      </c>
      <c r="BA56">
        <v>4180</v>
      </c>
      <c r="BU56" t="s">
        <v>8</v>
      </c>
      <c r="BV56" t="s">
        <v>15</v>
      </c>
      <c r="BW56" s="62">
        <v>38119</v>
      </c>
      <c r="BX56">
        <v>10530</v>
      </c>
      <c r="BY56">
        <v>4180</v>
      </c>
    </row>
    <row r="57" spans="37:77" x14ac:dyDescent="0.3">
      <c r="AK57" s="70" t="s">
        <v>286</v>
      </c>
      <c r="AL57" s="72">
        <v>40880</v>
      </c>
      <c r="AM57"/>
      <c r="AW57" t="s">
        <v>8</v>
      </c>
      <c r="AX57" t="s">
        <v>14</v>
      </c>
      <c r="AY57" s="62">
        <v>38112</v>
      </c>
      <c r="AZ57">
        <v>10518</v>
      </c>
      <c r="BA57">
        <v>4150.05</v>
      </c>
      <c r="BU57" t="s">
        <v>8</v>
      </c>
      <c r="BV57" t="s">
        <v>14</v>
      </c>
      <c r="BW57" s="62">
        <v>38112</v>
      </c>
      <c r="BX57">
        <v>10518</v>
      </c>
      <c r="BY57">
        <v>4150.05</v>
      </c>
    </row>
    <row r="58" spans="37:77" x14ac:dyDescent="0.3">
      <c r="AK58" s="70" t="s">
        <v>280</v>
      </c>
      <c r="AL58" s="72">
        <v>40881</v>
      </c>
      <c r="AM58"/>
      <c r="AW58" t="s">
        <v>8</v>
      </c>
      <c r="AX58" t="s">
        <v>287</v>
      </c>
      <c r="AY58" s="62">
        <v>38197</v>
      </c>
      <c r="AZ58">
        <v>10605</v>
      </c>
      <c r="BA58">
        <v>4109.6899999999996</v>
      </c>
      <c r="BU58" t="s">
        <v>8</v>
      </c>
      <c r="BV58" t="s">
        <v>287</v>
      </c>
      <c r="BW58" s="62">
        <v>38197</v>
      </c>
      <c r="BX58">
        <v>10605</v>
      </c>
      <c r="BY58">
        <v>4109.6899999999996</v>
      </c>
    </row>
    <row r="59" spans="37:77" x14ac:dyDescent="0.3">
      <c r="AK59" s="70" t="s">
        <v>281</v>
      </c>
      <c r="AL59" s="72">
        <v>40882</v>
      </c>
      <c r="AM59"/>
      <c r="AW59" t="s">
        <v>7</v>
      </c>
      <c r="AX59" t="s">
        <v>288</v>
      </c>
      <c r="AY59" s="62">
        <v>38431</v>
      </c>
      <c r="AZ59">
        <v>10941</v>
      </c>
      <c r="BA59">
        <v>4011.75</v>
      </c>
      <c r="BU59" t="s">
        <v>7</v>
      </c>
      <c r="BV59" t="s">
        <v>288</v>
      </c>
      <c r="BW59" s="62">
        <v>38431</v>
      </c>
      <c r="BX59">
        <v>10941</v>
      </c>
      <c r="BY59">
        <v>4011.75</v>
      </c>
    </row>
    <row r="60" spans="37:77" x14ac:dyDescent="0.3">
      <c r="AK60" s="70" t="s">
        <v>282</v>
      </c>
      <c r="AL60" s="72">
        <v>40883</v>
      </c>
      <c r="AM60"/>
      <c r="AW60" t="s">
        <v>7</v>
      </c>
      <c r="AX60" t="s">
        <v>288</v>
      </c>
      <c r="AY60" s="62">
        <v>38050</v>
      </c>
      <c r="AZ60">
        <v>10458</v>
      </c>
      <c r="BA60">
        <v>3891</v>
      </c>
      <c r="BU60" t="s">
        <v>7</v>
      </c>
      <c r="BV60" t="s">
        <v>288</v>
      </c>
      <c r="BW60" s="62">
        <v>38050</v>
      </c>
      <c r="BX60">
        <v>10458</v>
      </c>
      <c r="BY60">
        <v>3891</v>
      </c>
    </row>
    <row r="61" spans="37:77" x14ac:dyDescent="0.3">
      <c r="AK61" s="70" t="s">
        <v>283</v>
      </c>
      <c r="AL61" s="72">
        <v>40884</v>
      </c>
      <c r="AM61"/>
      <c r="AW61" t="s">
        <v>8</v>
      </c>
      <c r="AX61" t="s">
        <v>287</v>
      </c>
      <c r="AY61" s="62">
        <v>37996</v>
      </c>
      <c r="AZ61">
        <v>10401</v>
      </c>
      <c r="BA61">
        <v>3868.6</v>
      </c>
      <c r="BU61" t="s">
        <v>8</v>
      </c>
      <c r="BV61" t="s">
        <v>287</v>
      </c>
      <c r="BW61" s="62">
        <v>37996</v>
      </c>
      <c r="BX61">
        <v>10401</v>
      </c>
      <c r="BY61">
        <v>3868.6</v>
      </c>
    </row>
    <row r="62" spans="37:77" x14ac:dyDescent="0.3">
      <c r="AK62" s="70" t="s">
        <v>284</v>
      </c>
      <c r="AL62" s="72">
        <v>40885</v>
      </c>
      <c r="AM62"/>
      <c r="AW62" t="s">
        <v>8</v>
      </c>
      <c r="AX62" t="s">
        <v>14</v>
      </c>
      <c r="AY62" s="62">
        <v>38058</v>
      </c>
      <c r="AZ62">
        <v>10451</v>
      </c>
      <c r="BA62">
        <v>3849.66</v>
      </c>
      <c r="BU62" t="s">
        <v>8</v>
      </c>
      <c r="BV62" t="s">
        <v>14</v>
      </c>
      <c r="BW62" s="62">
        <v>38058</v>
      </c>
      <c r="BX62">
        <v>10451</v>
      </c>
      <c r="BY62">
        <v>3849.66</v>
      </c>
    </row>
    <row r="63" spans="37:77" x14ac:dyDescent="0.3">
      <c r="AK63" s="70" t="s">
        <v>285</v>
      </c>
      <c r="AL63" s="72">
        <v>40886</v>
      </c>
      <c r="AM63"/>
      <c r="AW63" t="s">
        <v>7</v>
      </c>
      <c r="AX63" t="s">
        <v>16</v>
      </c>
      <c r="AY63" s="62">
        <v>38256</v>
      </c>
      <c r="AZ63">
        <v>10672</v>
      </c>
      <c r="BA63">
        <v>3815.25</v>
      </c>
      <c r="BU63" t="s">
        <v>7</v>
      </c>
      <c r="BV63" t="s">
        <v>16</v>
      </c>
      <c r="BW63" s="62">
        <v>38256</v>
      </c>
      <c r="BX63">
        <v>10672</v>
      </c>
      <c r="BY63">
        <v>3815.25</v>
      </c>
    </row>
    <row r="64" spans="37:77" x14ac:dyDescent="0.3">
      <c r="AK64" s="70" t="s">
        <v>279</v>
      </c>
      <c r="AL64" s="72">
        <v>40887</v>
      </c>
      <c r="AM64"/>
      <c r="AW64" t="s">
        <v>8</v>
      </c>
      <c r="AX64" t="s">
        <v>289</v>
      </c>
      <c r="AY64" s="62">
        <v>38382</v>
      </c>
      <c r="AZ64">
        <v>10845</v>
      </c>
      <c r="BA64">
        <v>3812.7</v>
      </c>
      <c r="BU64" t="s">
        <v>8</v>
      </c>
      <c r="BV64" t="s">
        <v>289</v>
      </c>
      <c r="BW64" s="62">
        <v>38382</v>
      </c>
      <c r="BX64">
        <v>10845</v>
      </c>
      <c r="BY64">
        <v>3812.7</v>
      </c>
    </row>
    <row r="65" spans="37:77" x14ac:dyDescent="0.3">
      <c r="AK65" s="70" t="s">
        <v>286</v>
      </c>
      <c r="AL65" s="72">
        <v>40888</v>
      </c>
      <c r="AM65"/>
      <c r="AW65" t="s">
        <v>8</v>
      </c>
      <c r="AX65" t="s">
        <v>289</v>
      </c>
      <c r="AY65" s="62">
        <v>37903</v>
      </c>
      <c r="AZ65">
        <v>10305</v>
      </c>
      <c r="BA65">
        <v>3741.3</v>
      </c>
      <c r="BU65" t="s">
        <v>8</v>
      </c>
      <c r="BV65" t="s">
        <v>289</v>
      </c>
      <c r="BW65" s="62">
        <v>37903</v>
      </c>
      <c r="BX65">
        <v>10305</v>
      </c>
      <c r="BY65">
        <v>3741.3</v>
      </c>
    </row>
    <row r="66" spans="37:77" x14ac:dyDescent="0.3">
      <c r="AK66" s="70" t="s">
        <v>280</v>
      </c>
      <c r="AL66" s="72">
        <v>40889</v>
      </c>
      <c r="AM66"/>
      <c r="AW66" t="s">
        <v>8</v>
      </c>
      <c r="AX66" t="s">
        <v>289</v>
      </c>
      <c r="AY66" s="62">
        <v>38473</v>
      </c>
      <c r="AZ66">
        <v>11056</v>
      </c>
      <c r="BA66">
        <v>3740</v>
      </c>
      <c r="BU66" t="s">
        <v>8</v>
      </c>
      <c r="BV66" t="s">
        <v>289</v>
      </c>
      <c r="BW66" s="62">
        <v>38473</v>
      </c>
      <c r="BX66">
        <v>11056</v>
      </c>
      <c r="BY66">
        <v>3740</v>
      </c>
    </row>
    <row r="67" spans="37:77" x14ac:dyDescent="0.3">
      <c r="AK67" s="70" t="s">
        <v>281</v>
      </c>
      <c r="AL67" s="72">
        <v>40890</v>
      </c>
      <c r="AM67"/>
      <c r="AW67" t="s">
        <v>8</v>
      </c>
      <c r="AX67" t="s">
        <v>287</v>
      </c>
      <c r="AY67" s="62">
        <v>38352</v>
      </c>
      <c r="AZ67">
        <v>10789</v>
      </c>
      <c r="BA67">
        <v>3687</v>
      </c>
      <c r="BU67" t="s">
        <v>8</v>
      </c>
      <c r="BV67" t="s">
        <v>287</v>
      </c>
      <c r="BW67" s="62">
        <v>38352</v>
      </c>
      <c r="BX67">
        <v>10789</v>
      </c>
      <c r="BY67">
        <v>3687</v>
      </c>
    </row>
    <row r="68" spans="37:77" x14ac:dyDescent="0.3">
      <c r="AK68" s="70" t="s">
        <v>282</v>
      </c>
      <c r="AL68" s="72">
        <v>40891</v>
      </c>
      <c r="AM68"/>
      <c r="AW68" t="s">
        <v>8</v>
      </c>
      <c r="AX68" t="s">
        <v>15</v>
      </c>
      <c r="AY68" s="62">
        <v>38340</v>
      </c>
      <c r="AZ68">
        <v>10772</v>
      </c>
      <c r="BA68">
        <v>3603.22</v>
      </c>
      <c r="BU68" t="s">
        <v>8</v>
      </c>
      <c r="BV68" t="s">
        <v>15</v>
      </c>
      <c r="BW68" s="62">
        <v>38340</v>
      </c>
      <c r="BX68">
        <v>10772</v>
      </c>
      <c r="BY68">
        <v>3603.22</v>
      </c>
    </row>
    <row r="69" spans="37:77" x14ac:dyDescent="0.3">
      <c r="AK69" s="70" t="s">
        <v>283</v>
      </c>
      <c r="AL69" s="72">
        <v>40892</v>
      </c>
      <c r="AM69"/>
      <c r="AW69" t="s">
        <v>8</v>
      </c>
      <c r="AX69" t="s">
        <v>14</v>
      </c>
      <c r="AY69" s="62">
        <v>37813</v>
      </c>
      <c r="AZ69">
        <v>10252</v>
      </c>
      <c r="BA69">
        <v>3597.9</v>
      </c>
      <c r="BU69" t="s">
        <v>8</v>
      </c>
      <c r="BV69" t="s">
        <v>14</v>
      </c>
      <c r="BW69" s="62">
        <v>37813</v>
      </c>
      <c r="BX69">
        <v>10252</v>
      </c>
      <c r="BY69">
        <v>3597.9</v>
      </c>
    </row>
    <row r="70" spans="37:77" x14ac:dyDescent="0.3">
      <c r="AK70" s="70" t="s">
        <v>284</v>
      </c>
      <c r="AL70" s="72">
        <v>40893</v>
      </c>
      <c r="AM70"/>
      <c r="AW70" t="s">
        <v>8</v>
      </c>
      <c r="AX70" t="s">
        <v>289</v>
      </c>
      <c r="AY70" s="62">
        <v>38434</v>
      </c>
      <c r="AZ70">
        <v>10962</v>
      </c>
      <c r="BA70">
        <v>3584</v>
      </c>
      <c r="BU70" t="s">
        <v>8</v>
      </c>
      <c r="BV70" t="s">
        <v>289</v>
      </c>
      <c r="BW70" s="62">
        <v>38434</v>
      </c>
      <c r="BX70">
        <v>10962</v>
      </c>
      <c r="BY70">
        <v>3584</v>
      </c>
    </row>
    <row r="71" spans="37:77" x14ac:dyDescent="0.3">
      <c r="AK71" s="70" t="s">
        <v>285</v>
      </c>
      <c r="AL71" s="72">
        <v>40894</v>
      </c>
      <c r="AM71"/>
      <c r="AW71" t="s">
        <v>8</v>
      </c>
      <c r="AX71" t="s">
        <v>15</v>
      </c>
      <c r="AY71" s="62">
        <v>38452</v>
      </c>
      <c r="AZ71">
        <v>10988</v>
      </c>
      <c r="BA71">
        <v>3574.8</v>
      </c>
      <c r="BU71" t="s">
        <v>8</v>
      </c>
      <c r="BV71" t="s">
        <v>15</v>
      </c>
      <c r="BW71" s="62">
        <v>38452</v>
      </c>
      <c r="BX71">
        <v>10988</v>
      </c>
      <c r="BY71">
        <v>3574.8</v>
      </c>
    </row>
    <row r="72" spans="37:77" x14ac:dyDescent="0.3">
      <c r="AK72" s="70" t="s">
        <v>279</v>
      </c>
      <c r="AL72" s="72">
        <v>40895</v>
      </c>
      <c r="AM72"/>
      <c r="AW72" t="s">
        <v>7</v>
      </c>
      <c r="AX72" t="s">
        <v>17</v>
      </c>
      <c r="AY72" s="62">
        <v>38137</v>
      </c>
      <c r="AZ72">
        <v>10549</v>
      </c>
      <c r="BA72">
        <v>3554.27</v>
      </c>
      <c r="BU72" t="s">
        <v>7</v>
      </c>
      <c r="BV72" t="s">
        <v>17</v>
      </c>
      <c r="BW72" s="62">
        <v>38137</v>
      </c>
      <c r="BX72">
        <v>10549</v>
      </c>
      <c r="BY72">
        <v>3554.27</v>
      </c>
    </row>
    <row r="73" spans="37:77" x14ac:dyDescent="0.3">
      <c r="AK73" s="70" t="s">
        <v>286</v>
      </c>
      <c r="AL73" s="72">
        <v>40896</v>
      </c>
      <c r="AM73"/>
      <c r="AW73" t="s">
        <v>8</v>
      </c>
      <c r="AX73" t="s">
        <v>14</v>
      </c>
      <c r="AY73" s="62">
        <v>37839</v>
      </c>
      <c r="AZ73">
        <v>10267</v>
      </c>
      <c r="BA73">
        <v>3536.6</v>
      </c>
      <c r="BU73" t="s">
        <v>8</v>
      </c>
      <c r="BV73" t="s">
        <v>14</v>
      </c>
      <c r="BW73" s="62">
        <v>37839</v>
      </c>
      <c r="BX73">
        <v>10267</v>
      </c>
      <c r="BY73">
        <v>3536.6</v>
      </c>
    </row>
    <row r="74" spans="37:77" x14ac:dyDescent="0.3">
      <c r="AK74" s="70" t="s">
        <v>280</v>
      </c>
      <c r="AL74" s="72">
        <v>40897</v>
      </c>
      <c r="AM74"/>
      <c r="AW74" t="s">
        <v>8</v>
      </c>
      <c r="AX74" t="s">
        <v>14</v>
      </c>
      <c r="AY74" s="62">
        <v>38400</v>
      </c>
      <c r="AZ74">
        <v>10861</v>
      </c>
      <c r="BA74">
        <v>3523.4</v>
      </c>
      <c r="BU74" t="s">
        <v>8</v>
      </c>
      <c r="BV74" t="s">
        <v>14</v>
      </c>
      <c r="BW74" s="62">
        <v>38400</v>
      </c>
      <c r="BX74">
        <v>10861</v>
      </c>
      <c r="BY74">
        <v>3523.4</v>
      </c>
    </row>
    <row r="75" spans="37:77" x14ac:dyDescent="0.3">
      <c r="AK75" s="70" t="s">
        <v>281</v>
      </c>
      <c r="AL75" s="72">
        <v>40898</v>
      </c>
      <c r="AM75"/>
      <c r="AW75" t="s">
        <v>7</v>
      </c>
      <c r="AX75" t="s">
        <v>17</v>
      </c>
      <c r="AY75" s="62">
        <v>37951</v>
      </c>
      <c r="AZ75">
        <v>10359</v>
      </c>
      <c r="BA75">
        <v>3471.68</v>
      </c>
      <c r="BU75" t="s">
        <v>7</v>
      </c>
      <c r="BV75" t="s">
        <v>17</v>
      </c>
      <c r="BW75" s="62">
        <v>37951</v>
      </c>
      <c r="BX75">
        <v>10359</v>
      </c>
      <c r="BY75">
        <v>3471.68</v>
      </c>
    </row>
    <row r="76" spans="37:77" x14ac:dyDescent="0.3">
      <c r="AK76" s="70" t="s">
        <v>282</v>
      </c>
      <c r="AL76" s="72">
        <v>40899</v>
      </c>
      <c r="AM76"/>
      <c r="AW76" t="s">
        <v>8</v>
      </c>
      <c r="AX76" t="s">
        <v>287</v>
      </c>
      <c r="AY76" s="62">
        <v>38289</v>
      </c>
      <c r="AZ76">
        <v>10718</v>
      </c>
      <c r="BA76">
        <v>3463</v>
      </c>
      <c r="BU76" t="s">
        <v>8</v>
      </c>
      <c r="BV76" t="s">
        <v>287</v>
      </c>
      <c r="BW76" s="62">
        <v>38289</v>
      </c>
      <c r="BX76">
        <v>10718</v>
      </c>
      <c r="BY76">
        <v>3463</v>
      </c>
    </row>
    <row r="77" spans="37:77" x14ac:dyDescent="0.3">
      <c r="AK77" s="70" t="s">
        <v>283</v>
      </c>
      <c r="AL77" s="72">
        <v>40900</v>
      </c>
      <c r="AM77"/>
      <c r="AW77" t="s">
        <v>8</v>
      </c>
      <c r="AX77" t="s">
        <v>14</v>
      </c>
      <c r="AY77" s="62">
        <v>38277</v>
      </c>
      <c r="AZ77">
        <v>10698</v>
      </c>
      <c r="BA77">
        <v>3436.45</v>
      </c>
      <c r="BU77" t="s">
        <v>8</v>
      </c>
      <c r="BV77" t="s">
        <v>14</v>
      </c>
      <c r="BW77" s="62">
        <v>38277</v>
      </c>
      <c r="BX77">
        <v>10698</v>
      </c>
      <c r="BY77">
        <v>3436.45</v>
      </c>
    </row>
    <row r="78" spans="37:77" x14ac:dyDescent="0.3">
      <c r="AK78" s="70" t="s">
        <v>284</v>
      </c>
      <c r="AL78" s="72">
        <v>40901</v>
      </c>
      <c r="AM78"/>
      <c r="AW78" t="s">
        <v>8</v>
      </c>
      <c r="AX78" t="s">
        <v>287</v>
      </c>
      <c r="AY78" s="62">
        <v>38311</v>
      </c>
      <c r="AZ78">
        <v>10709</v>
      </c>
      <c r="BA78">
        <v>3424</v>
      </c>
      <c r="BU78" t="s">
        <v>8</v>
      </c>
      <c r="BV78" t="s">
        <v>287</v>
      </c>
      <c r="BW78" s="62">
        <v>38311</v>
      </c>
      <c r="BX78">
        <v>10709</v>
      </c>
      <c r="BY78">
        <v>3424</v>
      </c>
    </row>
    <row r="79" spans="37:77" x14ac:dyDescent="0.3">
      <c r="AK79" s="70" t="s">
        <v>285</v>
      </c>
      <c r="AL79" s="72">
        <v>40902</v>
      </c>
      <c r="AM79"/>
      <c r="AW79" t="s">
        <v>8</v>
      </c>
      <c r="AX79" t="s">
        <v>18</v>
      </c>
      <c r="AY79" s="62">
        <v>37929</v>
      </c>
      <c r="AZ79">
        <v>10339</v>
      </c>
      <c r="BA79">
        <v>3354</v>
      </c>
      <c r="BU79" t="s">
        <v>8</v>
      </c>
      <c r="BV79" t="s">
        <v>18</v>
      </c>
      <c r="BW79" s="62">
        <v>37929</v>
      </c>
      <c r="BX79">
        <v>10339</v>
      </c>
      <c r="BY79">
        <v>3354</v>
      </c>
    </row>
    <row r="80" spans="37:77" x14ac:dyDescent="0.3">
      <c r="AK80" s="70" t="s">
        <v>279</v>
      </c>
      <c r="AL80" s="72">
        <v>40903</v>
      </c>
      <c r="AM80"/>
      <c r="AW80" t="s">
        <v>7</v>
      </c>
      <c r="AX80" t="s">
        <v>288</v>
      </c>
      <c r="AY80" s="62">
        <v>38465</v>
      </c>
      <c r="AZ80">
        <v>11033</v>
      </c>
      <c r="BA80">
        <v>3232.8</v>
      </c>
      <c r="BU80" t="s">
        <v>7</v>
      </c>
      <c r="BV80" t="s">
        <v>288</v>
      </c>
      <c r="BW80" s="62">
        <v>38465</v>
      </c>
      <c r="BX80">
        <v>11033</v>
      </c>
      <c r="BY80">
        <v>3232.8</v>
      </c>
    </row>
    <row r="81" spans="37:77" x14ac:dyDescent="0.3">
      <c r="AK81" s="70" t="s">
        <v>286</v>
      </c>
      <c r="AL81" s="72">
        <v>40904</v>
      </c>
      <c r="AM81"/>
      <c r="AW81" t="s">
        <v>8</v>
      </c>
      <c r="AX81" t="s">
        <v>287</v>
      </c>
      <c r="AY81" s="62">
        <v>38114</v>
      </c>
      <c r="AZ81">
        <v>10524</v>
      </c>
      <c r="BA81">
        <v>3192.65</v>
      </c>
      <c r="BU81" t="s">
        <v>8</v>
      </c>
      <c r="BV81" t="s">
        <v>287</v>
      </c>
      <c r="BW81" s="62">
        <v>38114</v>
      </c>
      <c r="BX81">
        <v>10524</v>
      </c>
      <c r="BY81">
        <v>3192.65</v>
      </c>
    </row>
    <row r="82" spans="37:77" x14ac:dyDescent="0.3">
      <c r="AK82" s="70" t="s">
        <v>280</v>
      </c>
      <c r="AL82" s="72">
        <v>40905</v>
      </c>
      <c r="AM82"/>
      <c r="AW82" t="s">
        <v>7</v>
      </c>
      <c r="AX82" t="s">
        <v>288</v>
      </c>
      <c r="AY82" s="62">
        <v>38080</v>
      </c>
      <c r="AZ82">
        <v>10490</v>
      </c>
      <c r="BA82">
        <v>3163.2</v>
      </c>
      <c r="BU82" t="s">
        <v>7</v>
      </c>
      <c r="BV82" t="s">
        <v>288</v>
      </c>
      <c r="BW82" s="62">
        <v>38080</v>
      </c>
      <c r="BX82">
        <v>10490</v>
      </c>
      <c r="BY82">
        <v>3163.2</v>
      </c>
    </row>
    <row r="83" spans="37:77" x14ac:dyDescent="0.3">
      <c r="AK83" s="70" t="s">
        <v>281</v>
      </c>
      <c r="AL83" s="72">
        <v>40906</v>
      </c>
      <c r="AM83"/>
      <c r="AW83" t="s">
        <v>8</v>
      </c>
      <c r="AX83" t="s">
        <v>14</v>
      </c>
      <c r="AY83" s="62">
        <v>38267</v>
      </c>
      <c r="AZ83">
        <v>10688</v>
      </c>
      <c r="BA83">
        <v>3160.6</v>
      </c>
      <c r="BU83" t="s">
        <v>8</v>
      </c>
      <c r="BV83" t="s">
        <v>14</v>
      </c>
      <c r="BW83" s="62">
        <v>38267</v>
      </c>
      <c r="BX83">
        <v>10688</v>
      </c>
      <c r="BY83">
        <v>3160.6</v>
      </c>
    </row>
    <row r="84" spans="37:77" x14ac:dyDescent="0.3">
      <c r="AK84" s="70" t="s">
        <v>282</v>
      </c>
      <c r="AL84" s="72">
        <v>40907</v>
      </c>
      <c r="AM84"/>
      <c r="AW84" t="s">
        <v>8</v>
      </c>
      <c r="AX84" t="s">
        <v>287</v>
      </c>
      <c r="AY84" s="62">
        <v>38413</v>
      </c>
      <c r="AZ84">
        <v>10886</v>
      </c>
      <c r="BA84">
        <v>3127.5</v>
      </c>
      <c r="BU84" t="s">
        <v>8</v>
      </c>
      <c r="BV84" t="s">
        <v>287</v>
      </c>
      <c r="BW84" s="62">
        <v>38413</v>
      </c>
      <c r="BX84">
        <v>10886</v>
      </c>
      <c r="BY84">
        <v>3127.5</v>
      </c>
    </row>
    <row r="85" spans="37:77" x14ac:dyDescent="0.3">
      <c r="AK85" s="70" t="s">
        <v>283</v>
      </c>
      <c r="AL85" s="72">
        <v>40908</v>
      </c>
      <c r="AM85"/>
      <c r="AW85" t="s">
        <v>8</v>
      </c>
      <c r="AX85" t="s">
        <v>18</v>
      </c>
      <c r="AY85" s="62">
        <v>38178</v>
      </c>
      <c r="AZ85">
        <v>10588</v>
      </c>
      <c r="BA85">
        <v>3120</v>
      </c>
      <c r="BU85" t="s">
        <v>8</v>
      </c>
      <c r="BV85" t="s">
        <v>18</v>
      </c>
      <c r="BW85" s="62">
        <v>38178</v>
      </c>
      <c r="BX85">
        <v>10588</v>
      </c>
      <c r="BY85">
        <v>3120</v>
      </c>
    </row>
    <row r="86" spans="37:77" x14ac:dyDescent="0.3">
      <c r="AK86" s="70" t="s">
        <v>284</v>
      </c>
      <c r="AL86" s="72">
        <v>40909</v>
      </c>
      <c r="AM86"/>
      <c r="AW86" t="s">
        <v>8</v>
      </c>
      <c r="AX86" t="s">
        <v>15</v>
      </c>
      <c r="AY86" s="62">
        <v>38309</v>
      </c>
      <c r="AZ86">
        <v>10742</v>
      </c>
      <c r="BA86">
        <v>3118</v>
      </c>
      <c r="BU86" t="s">
        <v>8</v>
      </c>
      <c r="BV86" t="s">
        <v>15</v>
      </c>
      <c r="BW86" s="62">
        <v>38309</v>
      </c>
      <c r="BX86">
        <v>10742</v>
      </c>
      <c r="BY86">
        <v>3118</v>
      </c>
    </row>
    <row r="87" spans="37:77" x14ac:dyDescent="0.3">
      <c r="AK87" s="70" t="s">
        <v>285</v>
      </c>
      <c r="AL87" s="72">
        <v>40910</v>
      </c>
      <c r="AM87"/>
      <c r="AW87" t="s">
        <v>7</v>
      </c>
      <c r="AX87" t="s">
        <v>13</v>
      </c>
      <c r="AY87" s="62">
        <v>38336</v>
      </c>
      <c r="AZ87">
        <v>10757</v>
      </c>
      <c r="BA87">
        <v>3082</v>
      </c>
      <c r="BU87" t="s">
        <v>7</v>
      </c>
      <c r="BV87" t="s">
        <v>13</v>
      </c>
      <c r="BW87" s="62">
        <v>38336</v>
      </c>
      <c r="BX87">
        <v>10757</v>
      </c>
      <c r="BY87">
        <v>3082</v>
      </c>
    </row>
    <row r="88" spans="37:77" x14ac:dyDescent="0.3">
      <c r="AK88" s="70" t="s">
        <v>279</v>
      </c>
      <c r="AL88" s="72">
        <v>40911</v>
      </c>
      <c r="AM88"/>
      <c r="AW88" t="s">
        <v>8</v>
      </c>
      <c r="AX88" t="s">
        <v>287</v>
      </c>
      <c r="AY88" s="62">
        <v>38002</v>
      </c>
      <c r="AZ88">
        <v>10400</v>
      </c>
      <c r="BA88">
        <v>3063</v>
      </c>
      <c r="BU88" t="s">
        <v>8</v>
      </c>
      <c r="BV88" t="s">
        <v>287</v>
      </c>
      <c r="BW88" s="62">
        <v>38002</v>
      </c>
      <c r="BX88">
        <v>10400</v>
      </c>
      <c r="BY88">
        <v>3063</v>
      </c>
    </row>
    <row r="89" spans="37:77" x14ac:dyDescent="0.3">
      <c r="AK89" s="70" t="s">
        <v>286</v>
      </c>
      <c r="AL89" s="72">
        <v>40912</v>
      </c>
      <c r="AM89"/>
      <c r="AW89" t="s">
        <v>8</v>
      </c>
      <c r="AX89" t="s">
        <v>18</v>
      </c>
      <c r="AY89" s="62">
        <v>38471</v>
      </c>
      <c r="AZ89">
        <v>11053</v>
      </c>
      <c r="BA89">
        <v>3055</v>
      </c>
      <c r="BU89" t="s">
        <v>8</v>
      </c>
      <c r="BV89" t="s">
        <v>18</v>
      </c>
      <c r="BW89" s="62">
        <v>38471</v>
      </c>
      <c r="BX89">
        <v>11053</v>
      </c>
      <c r="BY89">
        <v>3055</v>
      </c>
    </row>
    <row r="90" spans="37:77" x14ac:dyDescent="0.3">
      <c r="AK90" s="70" t="s">
        <v>280</v>
      </c>
      <c r="AL90" s="72">
        <v>40913</v>
      </c>
      <c r="AM90"/>
      <c r="AW90" t="s">
        <v>8</v>
      </c>
      <c r="AX90" t="s">
        <v>14</v>
      </c>
      <c r="AY90" s="62">
        <v>38352</v>
      </c>
      <c r="AZ90">
        <v>10801</v>
      </c>
      <c r="BA90">
        <v>3026.85</v>
      </c>
      <c r="BU90" t="s">
        <v>8</v>
      </c>
      <c r="BV90" t="s">
        <v>14</v>
      </c>
      <c r="BW90" s="62">
        <v>38352</v>
      </c>
      <c r="BX90">
        <v>10801</v>
      </c>
      <c r="BY90">
        <v>3026.85</v>
      </c>
    </row>
    <row r="91" spans="37:77" x14ac:dyDescent="0.3">
      <c r="AK91" s="70" t="s">
        <v>281</v>
      </c>
      <c r="AL91" s="72">
        <v>40914</v>
      </c>
      <c r="AM91"/>
      <c r="AW91" t="s">
        <v>8</v>
      </c>
      <c r="AX91" t="s">
        <v>289</v>
      </c>
      <c r="AY91" s="62">
        <v>37863</v>
      </c>
      <c r="AZ91">
        <v>10286</v>
      </c>
      <c r="BA91">
        <v>3016</v>
      </c>
      <c r="BU91" t="s">
        <v>8</v>
      </c>
      <c r="BV91" t="s">
        <v>289</v>
      </c>
      <c r="BW91" s="62">
        <v>37863</v>
      </c>
      <c r="BX91">
        <v>10286</v>
      </c>
      <c r="BY91">
        <v>3016</v>
      </c>
    </row>
    <row r="92" spans="37:77" x14ac:dyDescent="0.3">
      <c r="AK92" s="70" t="s">
        <v>282</v>
      </c>
      <c r="AL92" s="72">
        <v>40915</v>
      </c>
      <c r="AM92"/>
      <c r="AW92" t="s">
        <v>8</v>
      </c>
      <c r="AX92" t="s">
        <v>289</v>
      </c>
      <c r="AY92" s="62">
        <v>38382</v>
      </c>
      <c r="AZ92">
        <v>10852</v>
      </c>
      <c r="BA92">
        <v>2984</v>
      </c>
      <c r="BU92" t="s">
        <v>8</v>
      </c>
      <c r="BV92" t="s">
        <v>289</v>
      </c>
      <c r="BW92" s="62">
        <v>38382</v>
      </c>
      <c r="BX92">
        <v>10852</v>
      </c>
      <c r="BY92">
        <v>2984</v>
      </c>
    </row>
    <row r="93" spans="37:77" x14ac:dyDescent="0.3">
      <c r="AK93" s="70" t="s">
        <v>283</v>
      </c>
      <c r="AL93" s="72">
        <v>40916</v>
      </c>
      <c r="AM93"/>
      <c r="AW93" t="s">
        <v>8</v>
      </c>
      <c r="AX93" t="s">
        <v>15</v>
      </c>
      <c r="AY93" s="62">
        <v>38388</v>
      </c>
      <c r="AZ93">
        <v>10854</v>
      </c>
      <c r="BA93">
        <v>2966.5</v>
      </c>
      <c r="BU93" t="s">
        <v>8</v>
      </c>
      <c r="BV93" t="s">
        <v>15</v>
      </c>
      <c r="BW93" s="62">
        <v>38388</v>
      </c>
      <c r="BX93">
        <v>10854</v>
      </c>
      <c r="BY93">
        <v>2966.5</v>
      </c>
    </row>
    <row r="94" spans="37:77" x14ac:dyDescent="0.3">
      <c r="AK94" s="70" t="s">
        <v>284</v>
      </c>
      <c r="AL94" s="72">
        <v>40917</v>
      </c>
      <c r="AM94"/>
      <c r="AW94" t="s">
        <v>7</v>
      </c>
      <c r="AX94" t="s">
        <v>13</v>
      </c>
      <c r="AY94" s="62">
        <v>38142</v>
      </c>
      <c r="AZ94">
        <v>10555</v>
      </c>
      <c r="BA94">
        <v>2944.4</v>
      </c>
      <c r="BU94" t="s">
        <v>7</v>
      </c>
      <c r="BV94" t="s">
        <v>13</v>
      </c>
      <c r="BW94" s="62">
        <v>38142</v>
      </c>
      <c r="BX94">
        <v>10555</v>
      </c>
      <c r="BY94">
        <v>2944.4</v>
      </c>
    </row>
    <row r="95" spans="37:77" x14ac:dyDescent="0.3">
      <c r="AK95" s="70" t="s">
        <v>285</v>
      </c>
      <c r="AL95" s="72">
        <v>40918</v>
      </c>
      <c r="AM95"/>
      <c r="AW95" t="s">
        <v>8</v>
      </c>
      <c r="AX95" t="s">
        <v>14</v>
      </c>
      <c r="AY95" s="62">
        <v>38354</v>
      </c>
      <c r="AZ95">
        <v>10802</v>
      </c>
      <c r="BA95">
        <v>2942.81</v>
      </c>
      <c r="BU95" t="s">
        <v>8</v>
      </c>
      <c r="BV95" t="s">
        <v>14</v>
      </c>
      <c r="BW95" s="62">
        <v>38354</v>
      </c>
      <c r="BX95">
        <v>10802</v>
      </c>
      <c r="BY95">
        <v>2942.81</v>
      </c>
    </row>
    <row r="96" spans="37:77" x14ac:dyDescent="0.3">
      <c r="AK96" s="70" t="s">
        <v>279</v>
      </c>
      <c r="AL96" s="72">
        <v>40919</v>
      </c>
      <c r="AM96"/>
      <c r="AW96" t="s">
        <v>8</v>
      </c>
      <c r="AX96" t="s">
        <v>18</v>
      </c>
      <c r="AY96" s="62">
        <v>37936</v>
      </c>
      <c r="AZ96">
        <v>10345</v>
      </c>
      <c r="BA96">
        <v>2924.8</v>
      </c>
      <c r="BU96" t="s">
        <v>8</v>
      </c>
      <c r="BV96" t="s">
        <v>18</v>
      </c>
      <c r="BW96" s="62">
        <v>37936</v>
      </c>
      <c r="BX96">
        <v>10345</v>
      </c>
      <c r="BY96">
        <v>2924.8</v>
      </c>
    </row>
    <row r="97" spans="37:77" x14ac:dyDescent="0.3">
      <c r="AK97" s="70" t="s">
        <v>286</v>
      </c>
      <c r="AL97" s="72">
        <v>40920</v>
      </c>
      <c r="AM97"/>
      <c r="AW97" t="s">
        <v>8</v>
      </c>
      <c r="AX97" t="s">
        <v>14</v>
      </c>
      <c r="AY97" s="62">
        <v>38331</v>
      </c>
      <c r="AZ97">
        <v>10760</v>
      </c>
      <c r="BA97">
        <v>2917</v>
      </c>
      <c r="BU97" t="s">
        <v>8</v>
      </c>
      <c r="BV97" t="s">
        <v>14</v>
      </c>
      <c r="BW97" s="62">
        <v>38331</v>
      </c>
      <c r="BX97">
        <v>10760</v>
      </c>
      <c r="BY97">
        <v>2917</v>
      </c>
    </row>
    <row r="98" spans="37:77" x14ac:dyDescent="0.3">
      <c r="AK98" s="70" t="s">
        <v>280</v>
      </c>
      <c r="AL98" s="72">
        <v>40921</v>
      </c>
      <c r="AM98"/>
      <c r="AW98" t="s">
        <v>8</v>
      </c>
      <c r="AX98" t="s">
        <v>14</v>
      </c>
      <c r="AY98" s="62">
        <v>37971</v>
      </c>
      <c r="AZ98">
        <v>10382</v>
      </c>
      <c r="BA98">
        <v>2900</v>
      </c>
      <c r="BU98" t="s">
        <v>8</v>
      </c>
      <c r="BV98" t="s">
        <v>14</v>
      </c>
      <c r="BW98" s="62">
        <v>37971</v>
      </c>
      <c r="BX98">
        <v>10382</v>
      </c>
      <c r="BY98">
        <v>2900</v>
      </c>
    </row>
    <row r="99" spans="37:77" x14ac:dyDescent="0.3">
      <c r="AK99" s="70" t="s">
        <v>281</v>
      </c>
      <c r="AL99" s="72">
        <v>40922</v>
      </c>
      <c r="AM99"/>
      <c r="AW99" t="s">
        <v>7</v>
      </c>
      <c r="AX99" t="s">
        <v>13</v>
      </c>
      <c r="AY99" s="62">
        <v>38275</v>
      </c>
      <c r="AZ99">
        <v>10701</v>
      </c>
      <c r="BA99">
        <v>2864.5</v>
      </c>
      <c r="BU99" t="s">
        <v>7</v>
      </c>
      <c r="BV99" t="s">
        <v>13</v>
      </c>
      <c r="BW99" s="62">
        <v>38275</v>
      </c>
      <c r="BX99">
        <v>10701</v>
      </c>
      <c r="BY99">
        <v>2864.5</v>
      </c>
    </row>
    <row r="100" spans="37:77" x14ac:dyDescent="0.3">
      <c r="AK100" s="70" t="s">
        <v>282</v>
      </c>
      <c r="AL100" s="72">
        <v>40923</v>
      </c>
      <c r="AM100"/>
      <c r="AW100" t="s">
        <v>8</v>
      </c>
      <c r="AX100" t="s">
        <v>15</v>
      </c>
      <c r="AY100" s="62">
        <v>38050</v>
      </c>
      <c r="AZ100">
        <v>10433</v>
      </c>
      <c r="BA100">
        <v>2851.2</v>
      </c>
      <c r="BU100" t="s">
        <v>8</v>
      </c>
      <c r="BV100" t="s">
        <v>15</v>
      </c>
      <c r="BW100" s="62">
        <v>38050</v>
      </c>
      <c r="BX100">
        <v>10433</v>
      </c>
      <c r="BY100">
        <v>2851.2</v>
      </c>
    </row>
    <row r="101" spans="37:77" x14ac:dyDescent="0.3">
      <c r="AK101" s="70" t="s">
        <v>283</v>
      </c>
      <c r="AL101" s="72">
        <v>40924</v>
      </c>
      <c r="AM101"/>
      <c r="AW101" t="s">
        <v>8</v>
      </c>
      <c r="AX101" t="s">
        <v>18</v>
      </c>
      <c r="AY101" s="62">
        <v>38147</v>
      </c>
      <c r="AZ101">
        <v>10561</v>
      </c>
      <c r="BA101">
        <v>2844.5</v>
      </c>
      <c r="BU101" t="s">
        <v>8</v>
      </c>
      <c r="BV101" t="s">
        <v>18</v>
      </c>
      <c r="BW101" s="62">
        <v>38147</v>
      </c>
      <c r="BX101">
        <v>10561</v>
      </c>
      <c r="BY101">
        <v>2844.5</v>
      </c>
    </row>
    <row r="102" spans="37:77" x14ac:dyDescent="0.3">
      <c r="AK102" s="70" t="s">
        <v>284</v>
      </c>
      <c r="AL102" s="72">
        <v>40925</v>
      </c>
      <c r="AM102"/>
      <c r="AW102" t="s">
        <v>8</v>
      </c>
      <c r="AX102" t="s">
        <v>287</v>
      </c>
      <c r="AY102" s="62">
        <v>37902</v>
      </c>
      <c r="AZ102">
        <v>10316</v>
      </c>
      <c r="BA102">
        <v>2835</v>
      </c>
      <c r="BU102" t="s">
        <v>8</v>
      </c>
      <c r="BV102" t="s">
        <v>287</v>
      </c>
      <c r="BW102" s="62">
        <v>37902</v>
      </c>
      <c r="BX102">
        <v>10316</v>
      </c>
      <c r="BY102">
        <v>2835</v>
      </c>
    </row>
    <row r="103" spans="37:77" x14ac:dyDescent="0.3">
      <c r="AK103" s="70" t="s">
        <v>285</v>
      </c>
      <c r="AL103" s="72">
        <v>40926</v>
      </c>
      <c r="AM103"/>
      <c r="AW103" t="s">
        <v>8</v>
      </c>
      <c r="AX103" t="s">
        <v>287</v>
      </c>
      <c r="AY103" s="62">
        <v>38284</v>
      </c>
      <c r="AZ103">
        <v>10713</v>
      </c>
      <c r="BA103">
        <v>2827.9</v>
      </c>
      <c r="BU103" t="s">
        <v>8</v>
      </c>
      <c r="BV103" t="s">
        <v>287</v>
      </c>
      <c r="BW103" s="62">
        <v>38284</v>
      </c>
      <c r="BX103">
        <v>10713</v>
      </c>
      <c r="BY103">
        <v>2827.9</v>
      </c>
    </row>
    <row r="104" spans="37:77" x14ac:dyDescent="0.3">
      <c r="AK104" s="70" t="s">
        <v>279</v>
      </c>
      <c r="AL104" s="72">
        <v>40927</v>
      </c>
      <c r="AM104"/>
      <c r="AW104" t="s">
        <v>7</v>
      </c>
      <c r="AX104" t="s">
        <v>17</v>
      </c>
      <c r="AY104" s="62">
        <v>38365</v>
      </c>
      <c r="AZ104">
        <v>10823</v>
      </c>
      <c r="BA104">
        <v>2826</v>
      </c>
      <c r="BU104" t="s">
        <v>7</v>
      </c>
      <c r="BV104" t="s">
        <v>17</v>
      </c>
      <c r="BW104" s="62">
        <v>38365</v>
      </c>
      <c r="BX104">
        <v>10823</v>
      </c>
      <c r="BY104">
        <v>2826</v>
      </c>
    </row>
    <row r="105" spans="37:77" x14ac:dyDescent="0.3">
      <c r="AK105" s="70" t="s">
        <v>286</v>
      </c>
      <c r="AL105" s="72">
        <v>40928</v>
      </c>
      <c r="AM105"/>
      <c r="AW105" t="s">
        <v>8</v>
      </c>
      <c r="AX105" t="s">
        <v>287</v>
      </c>
      <c r="AY105" s="62">
        <v>38459</v>
      </c>
      <c r="AZ105">
        <v>11012</v>
      </c>
      <c r="BA105">
        <v>2825.3</v>
      </c>
      <c r="BU105" t="s">
        <v>8</v>
      </c>
      <c r="BV105" t="s">
        <v>287</v>
      </c>
      <c r="BW105" s="62">
        <v>38459</v>
      </c>
      <c r="BX105">
        <v>11012</v>
      </c>
      <c r="BY105">
        <v>2825.3</v>
      </c>
    </row>
    <row r="106" spans="37:77" x14ac:dyDescent="0.3">
      <c r="AK106" s="70" t="s">
        <v>280</v>
      </c>
      <c r="AL106" s="72">
        <v>40929</v>
      </c>
      <c r="AM106"/>
      <c r="AW106" t="s">
        <v>8</v>
      </c>
      <c r="AX106" t="s">
        <v>287</v>
      </c>
      <c r="AY106" s="62">
        <v>38134</v>
      </c>
      <c r="AZ106">
        <v>10546</v>
      </c>
      <c r="BA106">
        <v>2812</v>
      </c>
      <c r="BU106" t="s">
        <v>8</v>
      </c>
      <c r="BV106" t="s">
        <v>287</v>
      </c>
      <c r="BW106" s="62">
        <v>38134</v>
      </c>
      <c r="BX106">
        <v>10546</v>
      </c>
      <c r="BY106">
        <v>2812</v>
      </c>
    </row>
    <row r="107" spans="37:77" x14ac:dyDescent="0.3">
      <c r="AK107" s="70" t="s">
        <v>281</v>
      </c>
      <c r="AL107" s="72">
        <v>40930</v>
      </c>
      <c r="AM107"/>
      <c r="AW107" t="s">
        <v>8</v>
      </c>
      <c r="AX107" t="s">
        <v>14</v>
      </c>
      <c r="AY107" s="62">
        <v>38219</v>
      </c>
      <c r="AZ107">
        <v>10629</v>
      </c>
      <c r="BA107">
        <v>2775.05</v>
      </c>
      <c r="BU107" t="s">
        <v>8</v>
      </c>
      <c r="BV107" t="s">
        <v>14</v>
      </c>
      <c r="BW107" s="62">
        <v>38219</v>
      </c>
      <c r="BX107">
        <v>10629</v>
      </c>
      <c r="BY107">
        <v>2775.05</v>
      </c>
    </row>
    <row r="108" spans="37:77" x14ac:dyDescent="0.3">
      <c r="AK108" s="70" t="s">
        <v>282</v>
      </c>
      <c r="AL108" s="72">
        <v>40931</v>
      </c>
      <c r="AM108"/>
      <c r="AW108" t="s">
        <v>8</v>
      </c>
      <c r="AX108" t="s">
        <v>18</v>
      </c>
      <c r="AY108" s="62">
        <v>38361</v>
      </c>
      <c r="AZ108">
        <v>10805</v>
      </c>
      <c r="BA108">
        <v>2775</v>
      </c>
      <c r="BU108" t="s">
        <v>8</v>
      </c>
      <c r="BV108" t="s">
        <v>18</v>
      </c>
      <c r="BW108" s="62">
        <v>38361</v>
      </c>
      <c r="BX108">
        <v>10805</v>
      </c>
      <c r="BY108">
        <v>2775</v>
      </c>
    </row>
    <row r="109" spans="37:77" x14ac:dyDescent="0.3">
      <c r="AK109" s="70" t="s">
        <v>283</v>
      </c>
      <c r="AL109" s="72">
        <v>40932</v>
      </c>
      <c r="AM109"/>
      <c r="AW109" t="s">
        <v>8</v>
      </c>
      <c r="AX109" t="s">
        <v>289</v>
      </c>
      <c r="AY109" s="62">
        <v>38448</v>
      </c>
      <c r="AZ109">
        <v>10987</v>
      </c>
      <c r="BA109">
        <v>2772</v>
      </c>
      <c r="BU109" t="s">
        <v>8</v>
      </c>
      <c r="BV109" t="s">
        <v>289</v>
      </c>
      <c r="BW109" s="62">
        <v>38448</v>
      </c>
      <c r="BX109">
        <v>10987</v>
      </c>
      <c r="BY109">
        <v>2772</v>
      </c>
    </row>
    <row r="110" spans="37:77" x14ac:dyDescent="0.3">
      <c r="AK110" s="70" t="s">
        <v>284</v>
      </c>
      <c r="AL110" s="72">
        <v>40933</v>
      </c>
      <c r="AM110"/>
      <c r="AW110" t="s">
        <v>8</v>
      </c>
      <c r="AX110" t="s">
        <v>18</v>
      </c>
      <c r="AY110" s="62">
        <v>38456</v>
      </c>
      <c r="AZ110">
        <v>11001</v>
      </c>
      <c r="BA110">
        <v>2769</v>
      </c>
      <c r="BU110" t="s">
        <v>8</v>
      </c>
      <c r="BV110" t="s">
        <v>18</v>
      </c>
      <c r="BW110" s="62">
        <v>38456</v>
      </c>
      <c r="BX110">
        <v>11001</v>
      </c>
      <c r="BY110">
        <v>2769</v>
      </c>
    </row>
    <row r="111" spans="37:77" x14ac:dyDescent="0.3">
      <c r="AK111" s="70" t="s">
        <v>285</v>
      </c>
      <c r="AL111" s="72">
        <v>40934</v>
      </c>
      <c r="AM111"/>
      <c r="AW111" t="s">
        <v>7</v>
      </c>
      <c r="AX111" t="s">
        <v>13</v>
      </c>
      <c r="AY111" s="62">
        <v>38225</v>
      </c>
      <c r="AZ111">
        <v>10637</v>
      </c>
      <c r="BA111">
        <v>2761.94</v>
      </c>
      <c r="BU111" t="s">
        <v>7</v>
      </c>
      <c r="BV111" t="s">
        <v>13</v>
      </c>
      <c r="BW111" s="62">
        <v>38225</v>
      </c>
      <c r="BX111">
        <v>10637</v>
      </c>
      <c r="BY111">
        <v>2761.94</v>
      </c>
    </row>
    <row r="112" spans="37:77" x14ac:dyDescent="0.3">
      <c r="AK112" s="70" t="s">
        <v>279</v>
      </c>
      <c r="AL112" s="72">
        <v>40935</v>
      </c>
      <c r="AM112"/>
      <c r="AW112" t="s">
        <v>8</v>
      </c>
      <c r="AX112" t="s">
        <v>287</v>
      </c>
      <c r="AY112" s="62">
        <v>38403</v>
      </c>
      <c r="AZ112">
        <v>10894</v>
      </c>
      <c r="BA112">
        <v>2753.1</v>
      </c>
      <c r="BU112" t="s">
        <v>8</v>
      </c>
      <c r="BV112" t="s">
        <v>287</v>
      </c>
      <c r="BW112" s="62">
        <v>38403</v>
      </c>
      <c r="BX112">
        <v>10894</v>
      </c>
      <c r="BY112">
        <v>2753.1</v>
      </c>
    </row>
    <row r="113" spans="37:77" x14ac:dyDescent="0.3">
      <c r="AK113" s="70" t="s">
        <v>286</v>
      </c>
      <c r="AL113" s="72">
        <v>40936</v>
      </c>
      <c r="AM113"/>
      <c r="AW113" t="s">
        <v>8</v>
      </c>
      <c r="AX113" t="s">
        <v>15</v>
      </c>
      <c r="AY113" s="62">
        <v>38427</v>
      </c>
      <c r="AZ113">
        <v>10938</v>
      </c>
      <c r="BA113">
        <v>2731.87</v>
      </c>
      <c r="BU113" t="s">
        <v>8</v>
      </c>
      <c r="BV113" t="s">
        <v>15</v>
      </c>
      <c r="BW113" s="62">
        <v>38427</v>
      </c>
      <c r="BX113">
        <v>10938</v>
      </c>
      <c r="BY113">
        <v>2731.87</v>
      </c>
    </row>
    <row r="114" spans="37:77" x14ac:dyDescent="0.3">
      <c r="AK114" s="70" t="s">
        <v>280</v>
      </c>
      <c r="AL114" s="72">
        <v>40937</v>
      </c>
      <c r="AM114"/>
      <c r="AW114" t="s">
        <v>8</v>
      </c>
      <c r="AX114" t="s">
        <v>15</v>
      </c>
      <c r="AY114" s="62">
        <v>38231</v>
      </c>
      <c r="AZ114">
        <v>10638</v>
      </c>
      <c r="BA114">
        <v>2720.05</v>
      </c>
      <c r="BU114" t="s">
        <v>8</v>
      </c>
      <c r="BV114" t="s">
        <v>15</v>
      </c>
      <c r="BW114" s="62">
        <v>38231</v>
      </c>
      <c r="BX114">
        <v>10638</v>
      </c>
      <c r="BY114">
        <v>2720.05</v>
      </c>
    </row>
    <row r="115" spans="37:77" x14ac:dyDescent="0.3">
      <c r="AK115" s="70" t="s">
        <v>281</v>
      </c>
      <c r="AL115" s="72">
        <v>40938</v>
      </c>
      <c r="AM115"/>
      <c r="AW115" t="s">
        <v>8</v>
      </c>
      <c r="AX115" t="s">
        <v>289</v>
      </c>
      <c r="AY115" s="62">
        <v>37996</v>
      </c>
      <c r="AZ115">
        <v>10402</v>
      </c>
      <c r="BA115">
        <v>2713.5</v>
      </c>
      <c r="BU115" t="s">
        <v>8</v>
      </c>
      <c r="BV115" t="s">
        <v>289</v>
      </c>
      <c r="BW115" s="62">
        <v>37996</v>
      </c>
      <c r="BX115">
        <v>10402</v>
      </c>
      <c r="BY115">
        <v>2713.5</v>
      </c>
    </row>
    <row r="116" spans="37:77" x14ac:dyDescent="0.3">
      <c r="AK116" s="70" t="s">
        <v>282</v>
      </c>
      <c r="AL116" s="72">
        <v>40939</v>
      </c>
      <c r="AM116"/>
      <c r="AW116" t="s">
        <v>8</v>
      </c>
      <c r="AX116" t="s">
        <v>14</v>
      </c>
      <c r="AY116" s="62">
        <v>37903</v>
      </c>
      <c r="AZ116">
        <v>10302</v>
      </c>
      <c r="BA116">
        <v>2708.8</v>
      </c>
      <c r="BU116" t="s">
        <v>8</v>
      </c>
      <c r="BV116" t="s">
        <v>14</v>
      </c>
      <c r="BW116" s="62">
        <v>37903</v>
      </c>
      <c r="BX116">
        <v>10302</v>
      </c>
      <c r="BY116">
        <v>2708.8</v>
      </c>
    </row>
    <row r="117" spans="37:77" x14ac:dyDescent="0.3">
      <c r="AK117" s="70" t="s">
        <v>283</v>
      </c>
      <c r="AL117" s="72">
        <v>40940</v>
      </c>
      <c r="AM117"/>
      <c r="AW117" t="s">
        <v>8</v>
      </c>
      <c r="AX117" t="s">
        <v>287</v>
      </c>
      <c r="AY117" s="62">
        <v>38207</v>
      </c>
      <c r="AZ117">
        <v>10618</v>
      </c>
      <c r="BA117">
        <v>2697.5</v>
      </c>
      <c r="BU117" t="s">
        <v>8</v>
      </c>
      <c r="BV117" t="s">
        <v>287</v>
      </c>
      <c r="BW117" s="62">
        <v>38207</v>
      </c>
      <c r="BX117">
        <v>10618</v>
      </c>
      <c r="BY117">
        <v>2697.5</v>
      </c>
    </row>
    <row r="118" spans="37:77" x14ac:dyDescent="0.3">
      <c r="AK118" s="70" t="s">
        <v>284</v>
      </c>
      <c r="AL118" s="72">
        <v>40941</v>
      </c>
      <c r="AM118"/>
      <c r="AW118" t="s">
        <v>8</v>
      </c>
      <c r="AX118" t="s">
        <v>15</v>
      </c>
      <c r="AY118" s="62">
        <v>38375</v>
      </c>
      <c r="AZ118">
        <v>10831</v>
      </c>
      <c r="BA118">
        <v>2684.4</v>
      </c>
      <c r="BU118" t="s">
        <v>8</v>
      </c>
      <c r="BV118" t="s">
        <v>15</v>
      </c>
      <c r="BW118" s="62">
        <v>38375</v>
      </c>
      <c r="BX118">
        <v>10831</v>
      </c>
      <c r="BY118">
        <v>2684.4</v>
      </c>
    </row>
    <row r="119" spans="37:77" x14ac:dyDescent="0.3">
      <c r="AK119" s="70" t="s">
        <v>285</v>
      </c>
      <c r="AL119" s="72">
        <v>40942</v>
      </c>
      <c r="AM119"/>
      <c r="AW119" t="s">
        <v>8</v>
      </c>
      <c r="AX119" t="s">
        <v>289</v>
      </c>
      <c r="AY119" s="62">
        <v>38049</v>
      </c>
      <c r="AZ119">
        <v>10455</v>
      </c>
      <c r="BA119">
        <v>2684</v>
      </c>
      <c r="BU119" t="s">
        <v>8</v>
      </c>
      <c r="BV119" t="s">
        <v>289</v>
      </c>
      <c r="BW119" s="62">
        <v>38049</v>
      </c>
      <c r="BX119">
        <v>10455</v>
      </c>
      <c r="BY119">
        <v>2684</v>
      </c>
    </row>
    <row r="120" spans="37:77" x14ac:dyDescent="0.3">
      <c r="AK120" s="70" t="s">
        <v>279</v>
      </c>
      <c r="AL120" s="72">
        <v>40943</v>
      </c>
      <c r="AM120"/>
      <c r="AW120" t="s">
        <v>7</v>
      </c>
      <c r="AX120" t="s">
        <v>13</v>
      </c>
      <c r="AY120" s="62">
        <v>37875</v>
      </c>
      <c r="AZ120">
        <v>10298</v>
      </c>
      <c r="BA120">
        <v>2645</v>
      </c>
      <c r="BU120" t="s">
        <v>7</v>
      </c>
      <c r="BV120" t="s">
        <v>13</v>
      </c>
      <c r="BW120" s="62">
        <v>37875</v>
      </c>
      <c r="BX120">
        <v>10298</v>
      </c>
      <c r="BY120">
        <v>2645</v>
      </c>
    </row>
    <row r="121" spans="37:77" x14ac:dyDescent="0.3">
      <c r="AK121" s="70" t="s">
        <v>286</v>
      </c>
      <c r="AL121" s="72">
        <v>40944</v>
      </c>
      <c r="AM121"/>
      <c r="AW121" t="s">
        <v>8</v>
      </c>
      <c r="AX121" t="s">
        <v>289</v>
      </c>
      <c r="AY121" s="62">
        <v>38455</v>
      </c>
      <c r="AZ121">
        <v>11007</v>
      </c>
      <c r="BA121">
        <v>2633.9</v>
      </c>
      <c r="BU121" t="s">
        <v>8</v>
      </c>
      <c r="BV121" t="s">
        <v>289</v>
      </c>
      <c r="BW121" s="62">
        <v>38455</v>
      </c>
      <c r="BX121">
        <v>11007</v>
      </c>
      <c r="BY121">
        <v>2633.9</v>
      </c>
    </row>
    <row r="122" spans="37:77" x14ac:dyDescent="0.3">
      <c r="AK122" s="70" t="s">
        <v>280</v>
      </c>
      <c r="AL122" s="72">
        <v>40945</v>
      </c>
      <c r="AM122"/>
      <c r="AW122" t="s">
        <v>8</v>
      </c>
      <c r="AX122" t="s">
        <v>18</v>
      </c>
      <c r="AY122" s="62">
        <v>38347</v>
      </c>
      <c r="AZ122">
        <v>10787</v>
      </c>
      <c r="BA122">
        <v>2622.76</v>
      </c>
      <c r="BU122" t="s">
        <v>8</v>
      </c>
      <c r="BV122" t="s">
        <v>18</v>
      </c>
      <c r="BW122" s="62">
        <v>38347</v>
      </c>
      <c r="BX122">
        <v>10787</v>
      </c>
      <c r="BY122">
        <v>2622.76</v>
      </c>
    </row>
    <row r="123" spans="37:77" x14ac:dyDescent="0.3">
      <c r="AK123" s="70" t="s">
        <v>281</v>
      </c>
      <c r="AL123" s="72">
        <v>40946</v>
      </c>
      <c r="AM123"/>
      <c r="AW123" t="s">
        <v>7</v>
      </c>
      <c r="AX123" t="s">
        <v>17</v>
      </c>
      <c r="AY123" s="62">
        <v>38385</v>
      </c>
      <c r="AZ123">
        <v>10851</v>
      </c>
      <c r="BA123">
        <v>2603</v>
      </c>
      <c r="BU123" t="s">
        <v>7</v>
      </c>
      <c r="BV123" t="s">
        <v>17</v>
      </c>
      <c r="BW123" s="62">
        <v>38385</v>
      </c>
      <c r="BX123">
        <v>10851</v>
      </c>
      <c r="BY123">
        <v>2603</v>
      </c>
    </row>
    <row r="124" spans="37:77" x14ac:dyDescent="0.3">
      <c r="AK124" s="70" t="s">
        <v>282</v>
      </c>
      <c r="AL124" s="72">
        <v>40947</v>
      </c>
      <c r="AM124"/>
      <c r="AW124" t="s">
        <v>8</v>
      </c>
      <c r="AX124" t="s">
        <v>287</v>
      </c>
      <c r="AY124" s="62">
        <v>37989</v>
      </c>
      <c r="AZ124">
        <v>10393</v>
      </c>
      <c r="BA124">
        <v>2556.9499999999998</v>
      </c>
      <c r="BU124" t="s">
        <v>8</v>
      </c>
      <c r="BV124" t="s">
        <v>287</v>
      </c>
      <c r="BW124" s="62">
        <v>37989</v>
      </c>
      <c r="BX124">
        <v>10393</v>
      </c>
      <c r="BY124">
        <v>2556.9499999999998</v>
      </c>
    </row>
    <row r="125" spans="37:77" x14ac:dyDescent="0.3">
      <c r="AK125" s="70" t="s">
        <v>283</v>
      </c>
      <c r="AL125" s="72">
        <v>40948</v>
      </c>
      <c r="AM125"/>
      <c r="AW125" t="s">
        <v>8</v>
      </c>
      <c r="AX125" t="s">
        <v>14</v>
      </c>
      <c r="AY125" s="62">
        <v>38098</v>
      </c>
      <c r="AZ125">
        <v>10511</v>
      </c>
      <c r="BA125">
        <v>2550</v>
      </c>
      <c r="BU125" t="s">
        <v>8</v>
      </c>
      <c r="BV125" t="s">
        <v>14</v>
      </c>
      <c r="BW125" s="62">
        <v>38098</v>
      </c>
      <c r="BX125">
        <v>10511</v>
      </c>
      <c r="BY125">
        <v>2550</v>
      </c>
    </row>
    <row r="126" spans="37:77" x14ac:dyDescent="0.3">
      <c r="AK126" s="70" t="s">
        <v>284</v>
      </c>
      <c r="AL126" s="72">
        <v>40949</v>
      </c>
      <c r="AM126"/>
      <c r="AW126" t="s">
        <v>7</v>
      </c>
      <c r="AX126" t="s">
        <v>13</v>
      </c>
      <c r="AY126" s="62">
        <v>38280</v>
      </c>
      <c r="AZ126">
        <v>10703</v>
      </c>
      <c r="BA126">
        <v>2545</v>
      </c>
      <c r="BU126" t="s">
        <v>7</v>
      </c>
      <c r="BV126" t="s">
        <v>13</v>
      </c>
      <c r="BW126" s="62">
        <v>38280</v>
      </c>
      <c r="BX126">
        <v>10703</v>
      </c>
      <c r="BY126">
        <v>2545</v>
      </c>
    </row>
    <row r="127" spans="37:77" x14ac:dyDescent="0.3">
      <c r="AK127" s="70" t="s">
        <v>285</v>
      </c>
      <c r="AL127" s="72">
        <v>40950</v>
      </c>
      <c r="AM127"/>
      <c r="AW127" t="s">
        <v>8</v>
      </c>
      <c r="AX127" t="s">
        <v>287</v>
      </c>
      <c r="AY127" s="62">
        <v>38155</v>
      </c>
      <c r="AZ127">
        <v>10567</v>
      </c>
      <c r="BA127">
        <v>2519</v>
      </c>
      <c r="BU127" t="s">
        <v>8</v>
      </c>
      <c r="BV127" t="s">
        <v>287</v>
      </c>
      <c r="BW127" s="62">
        <v>38155</v>
      </c>
      <c r="BX127">
        <v>10567</v>
      </c>
      <c r="BY127">
        <v>2519</v>
      </c>
    </row>
    <row r="128" spans="37:77" x14ac:dyDescent="0.3">
      <c r="AK128" s="70" t="s">
        <v>279</v>
      </c>
      <c r="AL128" s="72">
        <v>40951</v>
      </c>
      <c r="AM128"/>
      <c r="AW128" t="s">
        <v>8</v>
      </c>
      <c r="AX128" t="s">
        <v>287</v>
      </c>
      <c r="AY128" s="62">
        <v>38060</v>
      </c>
      <c r="AZ128">
        <v>10465</v>
      </c>
      <c r="BA128">
        <v>2518</v>
      </c>
      <c r="BU128" t="s">
        <v>8</v>
      </c>
      <c r="BV128" t="s">
        <v>287</v>
      </c>
      <c r="BW128" s="62">
        <v>38060</v>
      </c>
      <c r="BX128">
        <v>10465</v>
      </c>
      <c r="BY128">
        <v>2518</v>
      </c>
    </row>
    <row r="129" spans="37:77" x14ac:dyDescent="0.3">
      <c r="AK129" s="70" t="s">
        <v>286</v>
      </c>
      <c r="AL129" s="72">
        <v>40952</v>
      </c>
      <c r="AM129"/>
      <c r="AW129" t="s">
        <v>8</v>
      </c>
      <c r="AX129" t="s">
        <v>18</v>
      </c>
      <c r="AY129" s="62">
        <v>37995</v>
      </c>
      <c r="AZ129">
        <v>10398</v>
      </c>
      <c r="BA129">
        <v>2505.6</v>
      </c>
      <c r="BU129" t="s">
        <v>8</v>
      </c>
      <c r="BV129" t="s">
        <v>18</v>
      </c>
      <c r="BW129" s="62">
        <v>37995</v>
      </c>
      <c r="BX129">
        <v>10398</v>
      </c>
      <c r="BY129">
        <v>2505.6</v>
      </c>
    </row>
    <row r="130" spans="37:77" x14ac:dyDescent="0.3">
      <c r="AK130" s="70" t="s">
        <v>280</v>
      </c>
      <c r="AL130" s="72">
        <v>40953</v>
      </c>
      <c r="AM130"/>
      <c r="AW130" t="s">
        <v>7</v>
      </c>
      <c r="AX130" t="s">
        <v>16</v>
      </c>
      <c r="AY130" s="62">
        <v>37817</v>
      </c>
      <c r="AZ130">
        <v>10255</v>
      </c>
      <c r="BA130">
        <v>2490.5</v>
      </c>
      <c r="BU130" t="s">
        <v>7</v>
      </c>
      <c r="BV130" t="s">
        <v>16</v>
      </c>
      <c r="BW130" s="62">
        <v>37817</v>
      </c>
      <c r="BX130">
        <v>10255</v>
      </c>
      <c r="BY130">
        <v>2490.5</v>
      </c>
    </row>
    <row r="131" spans="37:77" x14ac:dyDescent="0.3">
      <c r="AK131" s="70" t="s">
        <v>281</v>
      </c>
      <c r="AL131" s="72">
        <v>40954</v>
      </c>
      <c r="AM131"/>
      <c r="AW131" t="s">
        <v>8</v>
      </c>
      <c r="AX131" t="s">
        <v>14</v>
      </c>
      <c r="AY131" s="62">
        <v>37923</v>
      </c>
      <c r="AZ131">
        <v>10337</v>
      </c>
      <c r="BA131">
        <v>2467</v>
      </c>
      <c r="BU131" t="s">
        <v>8</v>
      </c>
      <c r="BV131" t="s">
        <v>14</v>
      </c>
      <c r="BW131" s="62">
        <v>37923</v>
      </c>
      <c r="BX131">
        <v>10337</v>
      </c>
      <c r="BY131">
        <v>2467</v>
      </c>
    </row>
    <row r="132" spans="37:77" x14ac:dyDescent="0.3">
      <c r="AK132" s="70" t="s">
        <v>282</v>
      </c>
      <c r="AL132" s="72">
        <v>40955</v>
      </c>
      <c r="AM132"/>
      <c r="AW132" t="s">
        <v>8</v>
      </c>
      <c r="AX132" t="s">
        <v>15</v>
      </c>
      <c r="AY132" s="62">
        <v>38157</v>
      </c>
      <c r="AZ132">
        <v>10570</v>
      </c>
      <c r="BA132">
        <v>2465.25</v>
      </c>
      <c r="BU132" t="s">
        <v>8</v>
      </c>
      <c r="BV132" t="s">
        <v>15</v>
      </c>
      <c r="BW132" s="62">
        <v>38157</v>
      </c>
      <c r="BX132">
        <v>10570</v>
      </c>
      <c r="BY132">
        <v>2465.25</v>
      </c>
    </row>
    <row r="133" spans="37:77" x14ac:dyDescent="0.3">
      <c r="AK133" s="70" t="s">
        <v>283</v>
      </c>
      <c r="AL133" s="72">
        <v>40956</v>
      </c>
      <c r="AM133"/>
      <c r="AW133" t="s">
        <v>7</v>
      </c>
      <c r="AX133" t="s">
        <v>288</v>
      </c>
      <c r="AY133" s="62">
        <v>38137</v>
      </c>
      <c r="AZ133">
        <v>10523</v>
      </c>
      <c r="BA133">
        <v>2444.31</v>
      </c>
      <c r="BU133" t="s">
        <v>7</v>
      </c>
      <c r="BV133" t="s">
        <v>288</v>
      </c>
      <c r="BW133" s="62">
        <v>38137</v>
      </c>
      <c r="BX133">
        <v>10523</v>
      </c>
      <c r="BY133">
        <v>2444.31</v>
      </c>
    </row>
    <row r="134" spans="37:77" x14ac:dyDescent="0.3">
      <c r="AK134" s="70" t="s">
        <v>284</v>
      </c>
      <c r="AL134" s="72">
        <v>40957</v>
      </c>
      <c r="AM134"/>
      <c r="AW134" t="s">
        <v>8</v>
      </c>
      <c r="AX134" t="s">
        <v>287</v>
      </c>
      <c r="AY134" s="62">
        <v>37933</v>
      </c>
      <c r="AZ134">
        <v>10340</v>
      </c>
      <c r="BA134">
        <v>2436.1799999999998</v>
      </c>
      <c r="BU134" t="s">
        <v>8</v>
      </c>
      <c r="BV134" t="s">
        <v>287</v>
      </c>
      <c r="BW134" s="62">
        <v>37933</v>
      </c>
      <c r="BX134">
        <v>10340</v>
      </c>
      <c r="BY134">
        <v>2436.1799999999998</v>
      </c>
    </row>
    <row r="135" spans="37:77" x14ac:dyDescent="0.3">
      <c r="AK135" s="70" t="s">
        <v>285</v>
      </c>
      <c r="AL135" s="72">
        <v>40958</v>
      </c>
      <c r="AM135"/>
      <c r="AW135" t="s">
        <v>7</v>
      </c>
      <c r="AX135" t="s">
        <v>13</v>
      </c>
      <c r="AY135" s="62">
        <v>38466</v>
      </c>
      <c r="AZ135">
        <v>11031</v>
      </c>
      <c r="BA135">
        <v>2393.5</v>
      </c>
      <c r="BU135" t="s">
        <v>7</v>
      </c>
      <c r="BV135" t="s">
        <v>13</v>
      </c>
      <c r="BW135" s="62">
        <v>38466</v>
      </c>
      <c r="BX135">
        <v>11031</v>
      </c>
      <c r="BY135">
        <v>2393.5</v>
      </c>
    </row>
    <row r="136" spans="37:77" x14ac:dyDescent="0.3">
      <c r="AK136" s="70" t="s">
        <v>279</v>
      </c>
      <c r="AL136" s="72">
        <v>40959</v>
      </c>
      <c r="AM136"/>
      <c r="AW136" t="s">
        <v>8</v>
      </c>
      <c r="AX136" t="s">
        <v>289</v>
      </c>
      <c r="AY136" s="62">
        <v>37964</v>
      </c>
      <c r="AZ136">
        <v>10369</v>
      </c>
      <c r="BA136">
        <v>2390.4</v>
      </c>
      <c r="BU136" t="s">
        <v>8</v>
      </c>
      <c r="BV136" t="s">
        <v>289</v>
      </c>
      <c r="BW136" s="62">
        <v>37964</v>
      </c>
      <c r="BX136">
        <v>10369</v>
      </c>
      <c r="BY136">
        <v>2390.4</v>
      </c>
    </row>
    <row r="137" spans="37:77" x14ac:dyDescent="0.3">
      <c r="AK137" s="70" t="s">
        <v>286</v>
      </c>
      <c r="AL137" s="72">
        <v>40960</v>
      </c>
      <c r="AM137"/>
      <c r="AW137" t="s">
        <v>8</v>
      </c>
      <c r="AX137" t="s">
        <v>287</v>
      </c>
      <c r="AY137" s="62">
        <v>38186</v>
      </c>
      <c r="AZ137">
        <v>10598</v>
      </c>
      <c r="BA137">
        <v>2388.5</v>
      </c>
      <c r="BU137" t="s">
        <v>8</v>
      </c>
      <c r="BV137" t="s">
        <v>287</v>
      </c>
      <c r="BW137" s="62">
        <v>38186</v>
      </c>
      <c r="BX137">
        <v>10598</v>
      </c>
      <c r="BY137">
        <v>2388.5</v>
      </c>
    </row>
    <row r="138" spans="37:77" x14ac:dyDescent="0.3">
      <c r="AK138" s="70" t="s">
        <v>280</v>
      </c>
      <c r="AL138" s="72">
        <v>40961</v>
      </c>
      <c r="AM138"/>
      <c r="AW138" t="s">
        <v>8</v>
      </c>
      <c r="AX138" t="s">
        <v>18</v>
      </c>
      <c r="AY138" s="62">
        <v>38108</v>
      </c>
      <c r="AZ138">
        <v>10516</v>
      </c>
      <c r="BA138">
        <v>2381.0500000000002</v>
      </c>
      <c r="BU138" t="s">
        <v>8</v>
      </c>
      <c r="BV138" t="s">
        <v>18</v>
      </c>
      <c r="BW138" s="62">
        <v>38108</v>
      </c>
      <c r="BX138">
        <v>10516</v>
      </c>
      <c r="BY138">
        <v>2381.0500000000002</v>
      </c>
    </row>
    <row r="139" spans="37:77" x14ac:dyDescent="0.3">
      <c r="AK139" s="70" t="s">
        <v>281</v>
      </c>
      <c r="AL139" s="72">
        <v>40962</v>
      </c>
      <c r="AM139"/>
      <c r="AW139" t="s">
        <v>8</v>
      </c>
      <c r="AX139" t="s">
        <v>15</v>
      </c>
      <c r="AY139" s="62">
        <v>38430</v>
      </c>
      <c r="AZ139">
        <v>10948</v>
      </c>
      <c r="BA139">
        <v>2362.25</v>
      </c>
      <c r="BU139" t="s">
        <v>8</v>
      </c>
      <c r="BV139" t="s">
        <v>15</v>
      </c>
      <c r="BW139" s="62">
        <v>38430</v>
      </c>
      <c r="BX139">
        <v>10948</v>
      </c>
      <c r="BY139">
        <v>2362.25</v>
      </c>
    </row>
    <row r="140" spans="37:77" x14ac:dyDescent="0.3">
      <c r="AK140" s="70" t="s">
        <v>282</v>
      </c>
      <c r="AL140" s="72">
        <v>40963</v>
      </c>
      <c r="AM140"/>
      <c r="AW140" t="s">
        <v>8</v>
      </c>
      <c r="AX140" t="s">
        <v>15</v>
      </c>
      <c r="AY140" s="62">
        <v>38366</v>
      </c>
      <c r="AZ140">
        <v>10796</v>
      </c>
      <c r="BA140">
        <v>2341.36</v>
      </c>
      <c r="BU140" t="s">
        <v>8</v>
      </c>
      <c r="BV140" t="s">
        <v>15</v>
      </c>
      <c r="BW140" s="62">
        <v>38366</v>
      </c>
      <c r="BX140">
        <v>10796</v>
      </c>
      <c r="BY140">
        <v>2341.36</v>
      </c>
    </row>
    <row r="141" spans="37:77" x14ac:dyDescent="0.3">
      <c r="AK141" s="70" t="s">
        <v>283</v>
      </c>
      <c r="AL141" s="72">
        <v>40964</v>
      </c>
      <c r="AM141"/>
      <c r="AW141" t="s">
        <v>8</v>
      </c>
      <c r="AX141" t="s">
        <v>14</v>
      </c>
      <c r="AY141" s="62">
        <v>38113</v>
      </c>
      <c r="AZ141">
        <v>10522</v>
      </c>
      <c r="BA141">
        <v>2318.2399999999998</v>
      </c>
      <c r="BU141" t="s">
        <v>8</v>
      </c>
      <c r="BV141" t="s">
        <v>14</v>
      </c>
      <c r="BW141" s="62">
        <v>38113</v>
      </c>
      <c r="BX141">
        <v>10522</v>
      </c>
      <c r="BY141">
        <v>2318.2399999999998</v>
      </c>
    </row>
    <row r="142" spans="37:77" x14ac:dyDescent="0.3">
      <c r="AK142" s="70" t="s">
        <v>284</v>
      </c>
      <c r="AL142" s="72">
        <v>40965</v>
      </c>
      <c r="AM142"/>
      <c r="AW142" t="s">
        <v>7</v>
      </c>
      <c r="AX142" t="s">
        <v>13</v>
      </c>
      <c r="AY142" s="62">
        <v>38108</v>
      </c>
      <c r="AZ142">
        <v>10519</v>
      </c>
      <c r="BA142">
        <v>2314.1999999999998</v>
      </c>
      <c r="BU142" t="s">
        <v>7</v>
      </c>
      <c r="BV142" t="s">
        <v>13</v>
      </c>
      <c r="BW142" s="62">
        <v>38108</v>
      </c>
      <c r="BX142">
        <v>10519</v>
      </c>
      <c r="BY142">
        <v>2314.1999999999998</v>
      </c>
    </row>
    <row r="143" spans="37:77" x14ac:dyDescent="0.3">
      <c r="AK143" s="70" t="s">
        <v>285</v>
      </c>
      <c r="AL143" s="72">
        <v>40966</v>
      </c>
      <c r="AM143"/>
      <c r="AW143" t="s">
        <v>8</v>
      </c>
      <c r="AX143" t="s">
        <v>287</v>
      </c>
      <c r="AY143" s="62">
        <v>38312</v>
      </c>
      <c r="AZ143">
        <v>10746</v>
      </c>
      <c r="BA143">
        <v>2311.6999999999998</v>
      </c>
      <c r="BU143" t="s">
        <v>8</v>
      </c>
      <c r="BV143" t="s">
        <v>287</v>
      </c>
      <c r="BW143" s="62">
        <v>38312</v>
      </c>
      <c r="BX143">
        <v>10746</v>
      </c>
      <c r="BY143">
        <v>2311.6999999999998</v>
      </c>
    </row>
    <row r="144" spans="37:77" x14ac:dyDescent="0.3">
      <c r="AK144" s="70" t="s">
        <v>279</v>
      </c>
      <c r="AL144" s="72">
        <v>40967</v>
      </c>
      <c r="AM144"/>
      <c r="AW144" t="s">
        <v>8</v>
      </c>
      <c r="AX144" t="s">
        <v>14</v>
      </c>
      <c r="AY144" s="62">
        <v>38330</v>
      </c>
      <c r="AZ144">
        <v>10766</v>
      </c>
      <c r="BA144">
        <v>2310</v>
      </c>
      <c r="BU144" t="s">
        <v>8</v>
      </c>
      <c r="BV144" t="s">
        <v>14</v>
      </c>
      <c r="BW144" s="62">
        <v>38330</v>
      </c>
      <c r="BX144">
        <v>10766</v>
      </c>
      <c r="BY144">
        <v>2310</v>
      </c>
    </row>
    <row r="145" spans="37:77" x14ac:dyDescent="0.3">
      <c r="AK145" s="70" t="s">
        <v>286</v>
      </c>
      <c r="AL145" s="72">
        <v>40968</v>
      </c>
      <c r="AM145"/>
      <c r="AW145" t="s">
        <v>8</v>
      </c>
      <c r="AX145" t="s">
        <v>14</v>
      </c>
      <c r="AY145" s="62">
        <v>38248</v>
      </c>
      <c r="AZ145">
        <v>10670</v>
      </c>
      <c r="BA145">
        <v>2301.75</v>
      </c>
      <c r="BU145" t="s">
        <v>8</v>
      </c>
      <c r="BV145" t="s">
        <v>14</v>
      </c>
      <c r="BW145" s="62">
        <v>38248</v>
      </c>
      <c r="BX145">
        <v>10670</v>
      </c>
      <c r="BY145">
        <v>2301.75</v>
      </c>
    </row>
    <row r="146" spans="37:77" x14ac:dyDescent="0.3">
      <c r="AK146" s="70" t="s">
        <v>280</v>
      </c>
      <c r="AL146" s="72">
        <v>40969</v>
      </c>
      <c r="AM146"/>
      <c r="AW146" t="s">
        <v>8</v>
      </c>
      <c r="AX146" t="s">
        <v>14</v>
      </c>
      <c r="AY146" s="62">
        <v>37930</v>
      </c>
      <c r="AZ146">
        <v>10344</v>
      </c>
      <c r="BA146">
        <v>2296</v>
      </c>
      <c r="BU146" t="s">
        <v>8</v>
      </c>
      <c r="BV146" t="s">
        <v>14</v>
      </c>
      <c r="BW146" s="62">
        <v>37930</v>
      </c>
      <c r="BX146">
        <v>10344</v>
      </c>
      <c r="BY146">
        <v>2296</v>
      </c>
    </row>
    <row r="147" spans="37:77" x14ac:dyDescent="0.3">
      <c r="AK147" s="70" t="s">
        <v>281</v>
      </c>
      <c r="AL147" s="72">
        <v>40970</v>
      </c>
      <c r="AM147"/>
      <c r="AW147" t="s">
        <v>8</v>
      </c>
      <c r="AX147" t="s">
        <v>287</v>
      </c>
      <c r="AY147" s="62">
        <v>38449</v>
      </c>
      <c r="AZ147">
        <v>10991</v>
      </c>
      <c r="BA147">
        <v>2296</v>
      </c>
      <c r="BU147" t="s">
        <v>8</v>
      </c>
      <c r="BV147" t="s">
        <v>287</v>
      </c>
      <c r="BW147" s="62">
        <v>38449</v>
      </c>
      <c r="BX147">
        <v>10991</v>
      </c>
      <c r="BY147">
        <v>2296</v>
      </c>
    </row>
    <row r="148" spans="37:77" x14ac:dyDescent="0.3">
      <c r="AK148" s="70" t="s">
        <v>282</v>
      </c>
      <c r="AL148" s="72">
        <v>40971</v>
      </c>
      <c r="AM148"/>
      <c r="AW148" t="s">
        <v>7</v>
      </c>
      <c r="AX148" t="s">
        <v>13</v>
      </c>
      <c r="AY148" s="62">
        <v>38329</v>
      </c>
      <c r="AZ148">
        <v>10764</v>
      </c>
      <c r="BA148">
        <v>2286</v>
      </c>
      <c r="BU148" t="s">
        <v>7</v>
      </c>
      <c r="BV148" t="s">
        <v>13</v>
      </c>
      <c r="BW148" s="62">
        <v>38329</v>
      </c>
      <c r="BX148">
        <v>10764</v>
      </c>
      <c r="BY148">
        <v>2286</v>
      </c>
    </row>
    <row r="149" spans="37:77" x14ac:dyDescent="0.3">
      <c r="AK149" s="70" t="s">
        <v>283</v>
      </c>
      <c r="AL149" s="72">
        <v>40972</v>
      </c>
      <c r="AM149"/>
      <c r="AW149" t="s">
        <v>7</v>
      </c>
      <c r="AX149" t="s">
        <v>288</v>
      </c>
      <c r="AY149" s="62">
        <v>38190</v>
      </c>
      <c r="AZ149">
        <v>10601</v>
      </c>
      <c r="BA149">
        <v>2285</v>
      </c>
      <c r="BU149" t="s">
        <v>7</v>
      </c>
      <c r="BV149" t="s">
        <v>288</v>
      </c>
      <c r="BW149" s="62">
        <v>38190</v>
      </c>
      <c r="BX149">
        <v>10601</v>
      </c>
      <c r="BY149">
        <v>2285</v>
      </c>
    </row>
    <row r="150" spans="37:77" x14ac:dyDescent="0.3">
      <c r="AK150" s="70" t="s">
        <v>284</v>
      </c>
      <c r="AL150" s="72">
        <v>40973</v>
      </c>
      <c r="AM150"/>
      <c r="AW150" t="s">
        <v>7</v>
      </c>
      <c r="AX150" t="s">
        <v>13</v>
      </c>
      <c r="AY150" s="62">
        <v>38359</v>
      </c>
      <c r="AZ150">
        <v>10804</v>
      </c>
      <c r="BA150">
        <v>2278.4</v>
      </c>
      <c r="BU150" t="s">
        <v>7</v>
      </c>
      <c r="BV150" t="s">
        <v>13</v>
      </c>
      <c r="BW150" s="62">
        <v>38359</v>
      </c>
      <c r="BX150">
        <v>10804</v>
      </c>
      <c r="BY150">
        <v>2278.4</v>
      </c>
    </row>
    <row r="151" spans="37:77" x14ac:dyDescent="0.3">
      <c r="AK151" s="70" t="s">
        <v>285</v>
      </c>
      <c r="AL151" s="72">
        <v>40974</v>
      </c>
      <c r="AM151"/>
      <c r="AW151" t="s">
        <v>8</v>
      </c>
      <c r="AX151" t="s">
        <v>14</v>
      </c>
      <c r="AY151" s="62">
        <v>38429</v>
      </c>
      <c r="AZ151">
        <v>10930</v>
      </c>
      <c r="BA151">
        <v>2255.5</v>
      </c>
      <c r="BU151" t="s">
        <v>8</v>
      </c>
      <c r="BV151" t="s">
        <v>14</v>
      </c>
      <c r="BW151" s="62">
        <v>38429</v>
      </c>
      <c r="BX151">
        <v>10930</v>
      </c>
      <c r="BY151">
        <v>2255.5</v>
      </c>
    </row>
    <row r="152" spans="37:77" x14ac:dyDescent="0.3">
      <c r="AK152" s="70" t="s">
        <v>279</v>
      </c>
      <c r="AL152" s="72">
        <v>40975</v>
      </c>
      <c r="AM152"/>
      <c r="AW152" t="s">
        <v>8</v>
      </c>
      <c r="AX152" t="s">
        <v>18</v>
      </c>
      <c r="AY152" s="62">
        <v>38172</v>
      </c>
      <c r="AZ152">
        <v>10583</v>
      </c>
      <c r="BA152">
        <v>2237.5</v>
      </c>
      <c r="BU152" t="s">
        <v>8</v>
      </c>
      <c r="BV152" t="s">
        <v>18</v>
      </c>
      <c r="BW152" s="62">
        <v>38172</v>
      </c>
      <c r="BX152">
        <v>10583</v>
      </c>
      <c r="BY152">
        <v>2237.5</v>
      </c>
    </row>
    <row r="153" spans="37:77" x14ac:dyDescent="0.3">
      <c r="AK153" s="70" t="s">
        <v>286</v>
      </c>
      <c r="AL153" s="72">
        <v>40976</v>
      </c>
      <c r="AM153"/>
      <c r="AW153" t="s">
        <v>8</v>
      </c>
      <c r="AX153" t="s">
        <v>289</v>
      </c>
      <c r="AY153" s="62">
        <v>38452</v>
      </c>
      <c r="AZ153">
        <v>10977</v>
      </c>
      <c r="BA153">
        <v>2233</v>
      </c>
      <c r="BU153" t="s">
        <v>8</v>
      </c>
      <c r="BV153" t="s">
        <v>289</v>
      </c>
      <c r="BW153" s="62">
        <v>38452</v>
      </c>
      <c r="BX153">
        <v>10977</v>
      </c>
      <c r="BY153">
        <v>2233</v>
      </c>
    </row>
    <row r="154" spans="37:77" x14ac:dyDescent="0.3">
      <c r="AK154" s="70" t="s">
        <v>280</v>
      </c>
      <c r="AL154" s="72">
        <v>40977</v>
      </c>
      <c r="AM154"/>
      <c r="AW154" t="s">
        <v>8</v>
      </c>
      <c r="AX154" t="s">
        <v>15</v>
      </c>
      <c r="AY154" s="62">
        <v>38387</v>
      </c>
      <c r="AZ154">
        <v>10855</v>
      </c>
      <c r="BA154">
        <v>2227.89</v>
      </c>
      <c r="BU154" t="s">
        <v>8</v>
      </c>
      <c r="BV154" t="s">
        <v>15</v>
      </c>
      <c r="BW154" s="62">
        <v>38387</v>
      </c>
      <c r="BX154">
        <v>10855</v>
      </c>
      <c r="BY154">
        <v>2227.89</v>
      </c>
    </row>
    <row r="155" spans="37:77" x14ac:dyDescent="0.3">
      <c r="AK155" s="70" t="s">
        <v>281</v>
      </c>
      <c r="AL155" s="72">
        <v>40978</v>
      </c>
      <c r="AM155"/>
      <c r="AW155" t="s">
        <v>8</v>
      </c>
      <c r="AX155" t="s">
        <v>15</v>
      </c>
      <c r="AY155" s="62">
        <v>37975</v>
      </c>
      <c r="AZ155">
        <v>10384</v>
      </c>
      <c r="BA155">
        <v>2222.4</v>
      </c>
      <c r="BU155" t="s">
        <v>8</v>
      </c>
      <c r="BV155" t="s">
        <v>15</v>
      </c>
      <c r="BW155" s="62">
        <v>37975</v>
      </c>
      <c r="BX155">
        <v>10384</v>
      </c>
      <c r="BY155">
        <v>2222.4</v>
      </c>
    </row>
    <row r="156" spans="37:77" x14ac:dyDescent="0.3">
      <c r="AK156" s="70" t="s">
        <v>282</v>
      </c>
      <c r="AL156" s="72">
        <v>40979</v>
      </c>
      <c r="AM156"/>
      <c r="AW156" t="s">
        <v>8</v>
      </c>
      <c r="AX156" t="s">
        <v>289</v>
      </c>
      <c r="AY156" s="62">
        <v>38129</v>
      </c>
      <c r="AZ156">
        <v>10533</v>
      </c>
      <c r="BA156">
        <v>2222.1999999999998</v>
      </c>
      <c r="BU156" t="s">
        <v>8</v>
      </c>
      <c r="BV156" t="s">
        <v>289</v>
      </c>
      <c r="BW156" s="62">
        <v>38129</v>
      </c>
      <c r="BX156">
        <v>10533</v>
      </c>
      <c r="BY156">
        <v>2222.1999999999998</v>
      </c>
    </row>
    <row r="157" spans="37:77" x14ac:dyDescent="0.3">
      <c r="AK157" s="70" t="s">
        <v>283</v>
      </c>
      <c r="AL157" s="72">
        <v>40980</v>
      </c>
      <c r="AM157"/>
      <c r="AW157" t="s">
        <v>8</v>
      </c>
      <c r="AX157" t="s">
        <v>289</v>
      </c>
      <c r="AY157" s="62">
        <v>38463</v>
      </c>
      <c r="AZ157">
        <v>10986</v>
      </c>
      <c r="BA157">
        <v>2220</v>
      </c>
      <c r="BU157" t="s">
        <v>8</v>
      </c>
      <c r="BV157" t="s">
        <v>289</v>
      </c>
      <c r="BW157" s="62">
        <v>38463</v>
      </c>
      <c r="BX157">
        <v>10986</v>
      </c>
      <c r="BY157">
        <v>2220</v>
      </c>
    </row>
    <row r="158" spans="37:77" x14ac:dyDescent="0.3">
      <c r="AK158" s="70" t="s">
        <v>284</v>
      </c>
      <c r="AL158" s="72">
        <v>40981</v>
      </c>
      <c r="AM158"/>
      <c r="AW158" t="s">
        <v>7</v>
      </c>
      <c r="AX158" t="s">
        <v>17</v>
      </c>
      <c r="AY158" s="62">
        <v>38287</v>
      </c>
      <c r="AZ158">
        <v>10714</v>
      </c>
      <c r="BA158">
        <v>2205.75</v>
      </c>
      <c r="BU158" t="s">
        <v>7</v>
      </c>
      <c r="BV158" t="s">
        <v>17</v>
      </c>
      <c r="BW158" s="62">
        <v>38287</v>
      </c>
      <c r="BX158">
        <v>10714</v>
      </c>
      <c r="BY158">
        <v>2205.75</v>
      </c>
    </row>
    <row r="159" spans="37:77" x14ac:dyDescent="0.3">
      <c r="AK159" s="70" t="s">
        <v>285</v>
      </c>
      <c r="AL159" s="72">
        <v>40982</v>
      </c>
      <c r="AM159"/>
      <c r="AW159" t="s">
        <v>8</v>
      </c>
      <c r="AX159" t="s">
        <v>15</v>
      </c>
      <c r="AY159" s="62">
        <v>38319</v>
      </c>
      <c r="AZ159">
        <v>10748</v>
      </c>
      <c r="BA159">
        <v>2196</v>
      </c>
      <c r="BU159" t="s">
        <v>8</v>
      </c>
      <c r="BV159" t="s">
        <v>15</v>
      </c>
      <c r="BW159" s="62">
        <v>38319</v>
      </c>
      <c r="BX159">
        <v>10748</v>
      </c>
      <c r="BY159">
        <v>2196</v>
      </c>
    </row>
    <row r="160" spans="37:77" x14ac:dyDescent="0.3">
      <c r="AK160" s="70" t="s">
        <v>279</v>
      </c>
      <c r="AL160" s="72">
        <v>40983</v>
      </c>
      <c r="AM160"/>
      <c r="AW160" t="s">
        <v>8</v>
      </c>
      <c r="AX160" t="s">
        <v>289</v>
      </c>
      <c r="AY160" s="62">
        <v>37867</v>
      </c>
      <c r="AZ160">
        <v>10290</v>
      </c>
      <c r="BA160">
        <v>2169</v>
      </c>
      <c r="BU160" t="s">
        <v>8</v>
      </c>
      <c r="BV160" t="s">
        <v>289</v>
      </c>
      <c r="BW160" s="62">
        <v>37867</v>
      </c>
      <c r="BX160">
        <v>10290</v>
      </c>
      <c r="BY160">
        <v>2169</v>
      </c>
    </row>
    <row r="161" spans="37:77" x14ac:dyDescent="0.3">
      <c r="AK161" s="70" t="s">
        <v>286</v>
      </c>
      <c r="AL161" s="72">
        <v>40984</v>
      </c>
      <c r="AM161"/>
      <c r="AW161" t="s">
        <v>8</v>
      </c>
      <c r="AX161" t="s">
        <v>18</v>
      </c>
      <c r="AY161" s="62">
        <v>38464</v>
      </c>
      <c r="AZ161">
        <v>11028</v>
      </c>
      <c r="BA161">
        <v>2160</v>
      </c>
      <c r="BU161" t="s">
        <v>8</v>
      </c>
      <c r="BV161" t="s">
        <v>18</v>
      </c>
      <c r="BW161" s="62">
        <v>38464</v>
      </c>
      <c r="BX161">
        <v>11028</v>
      </c>
      <c r="BY161">
        <v>2160</v>
      </c>
    </row>
    <row r="162" spans="37:77" x14ac:dyDescent="0.3">
      <c r="AK162" s="70" t="s">
        <v>280</v>
      </c>
      <c r="AL162" s="72">
        <v>40985</v>
      </c>
      <c r="AM162"/>
      <c r="AW162" t="s">
        <v>8</v>
      </c>
      <c r="AX162" t="s">
        <v>289</v>
      </c>
      <c r="AY162" s="62">
        <v>38372</v>
      </c>
      <c r="AZ162">
        <v>10795</v>
      </c>
      <c r="BA162">
        <v>2158</v>
      </c>
      <c r="BU162" t="s">
        <v>8</v>
      </c>
      <c r="BV162" t="s">
        <v>289</v>
      </c>
      <c r="BW162" s="62">
        <v>38372</v>
      </c>
      <c r="BX162">
        <v>10795</v>
      </c>
      <c r="BY162">
        <v>2158</v>
      </c>
    </row>
    <row r="163" spans="37:77" x14ac:dyDescent="0.3">
      <c r="AK163" s="70" t="s">
        <v>281</v>
      </c>
      <c r="AL163" s="72">
        <v>40986</v>
      </c>
      <c r="AM163"/>
      <c r="AW163" t="s">
        <v>7</v>
      </c>
      <c r="AX163" t="s">
        <v>17</v>
      </c>
      <c r="AY163" s="62">
        <v>38168</v>
      </c>
      <c r="AZ163">
        <v>10575</v>
      </c>
      <c r="BA163">
        <v>2147.4</v>
      </c>
      <c r="BU163" t="s">
        <v>7</v>
      </c>
      <c r="BV163" t="s">
        <v>17</v>
      </c>
      <c r="BW163" s="62">
        <v>38168</v>
      </c>
      <c r="BX163">
        <v>10575</v>
      </c>
      <c r="BY163">
        <v>2147.4</v>
      </c>
    </row>
    <row r="164" spans="37:77" x14ac:dyDescent="0.3">
      <c r="AK164" s="70" t="s">
        <v>282</v>
      </c>
      <c r="AL164" s="72">
        <v>40987</v>
      </c>
      <c r="AM164"/>
      <c r="AW164" t="s">
        <v>8</v>
      </c>
      <c r="AX164" t="s">
        <v>287</v>
      </c>
      <c r="AY164" s="62">
        <v>38148</v>
      </c>
      <c r="AZ164">
        <v>10558</v>
      </c>
      <c r="BA164">
        <v>2142.9</v>
      </c>
      <c r="BU164" t="s">
        <v>8</v>
      </c>
      <c r="BV164" t="s">
        <v>287</v>
      </c>
      <c r="BW164" s="62">
        <v>38148</v>
      </c>
      <c r="BX164">
        <v>10558</v>
      </c>
      <c r="BY164">
        <v>2142.9</v>
      </c>
    </row>
    <row r="165" spans="37:77" x14ac:dyDescent="0.3">
      <c r="AK165" s="70" t="s">
        <v>283</v>
      </c>
      <c r="AL165" s="72">
        <v>40988</v>
      </c>
      <c r="AM165"/>
      <c r="AW165" t="s">
        <v>8</v>
      </c>
      <c r="AX165" t="s">
        <v>15</v>
      </c>
      <c r="AY165" s="62">
        <v>38002</v>
      </c>
      <c r="AZ165">
        <v>10413</v>
      </c>
      <c r="BA165">
        <v>2123.1999999999998</v>
      </c>
      <c r="BU165" t="s">
        <v>8</v>
      </c>
      <c r="BV165" t="s">
        <v>15</v>
      </c>
      <c r="BW165" s="62">
        <v>38002</v>
      </c>
      <c r="BX165">
        <v>10413</v>
      </c>
      <c r="BY165">
        <v>2123.1999999999998</v>
      </c>
    </row>
    <row r="166" spans="37:77" x14ac:dyDescent="0.3">
      <c r="AK166" s="70" t="s">
        <v>284</v>
      </c>
      <c r="AL166" s="72">
        <v>40989</v>
      </c>
      <c r="AM166"/>
      <c r="AW166" t="s">
        <v>7</v>
      </c>
      <c r="AX166" t="s">
        <v>13</v>
      </c>
      <c r="AY166" s="62">
        <v>37989</v>
      </c>
      <c r="AZ166">
        <v>10395</v>
      </c>
      <c r="BA166">
        <v>2122.92</v>
      </c>
      <c r="BU166" t="s">
        <v>7</v>
      </c>
      <c r="BV166" t="s">
        <v>13</v>
      </c>
      <c r="BW166" s="62">
        <v>37989</v>
      </c>
      <c r="BX166">
        <v>10395</v>
      </c>
      <c r="BY166">
        <v>2122.92</v>
      </c>
    </row>
    <row r="167" spans="37:77" x14ac:dyDescent="0.3">
      <c r="AK167" s="70" t="s">
        <v>285</v>
      </c>
      <c r="AL167" s="72">
        <v>40990</v>
      </c>
      <c r="AM167"/>
      <c r="AW167" t="s">
        <v>8</v>
      </c>
      <c r="AX167" t="s">
        <v>14</v>
      </c>
      <c r="AY167" s="62">
        <v>38016</v>
      </c>
      <c r="AZ167">
        <v>10419</v>
      </c>
      <c r="BA167">
        <v>2097.6</v>
      </c>
      <c r="BU167" t="s">
        <v>8</v>
      </c>
      <c r="BV167" t="s">
        <v>14</v>
      </c>
      <c r="BW167" s="62">
        <v>38016</v>
      </c>
      <c r="BX167">
        <v>10419</v>
      </c>
      <c r="BY167">
        <v>2097.6</v>
      </c>
    </row>
    <row r="168" spans="37:77" x14ac:dyDescent="0.3">
      <c r="AK168" s="70" t="s">
        <v>279</v>
      </c>
      <c r="AL168" s="72">
        <v>40991</v>
      </c>
      <c r="AM168"/>
      <c r="AW168" t="s">
        <v>8</v>
      </c>
      <c r="AX168" t="s">
        <v>287</v>
      </c>
      <c r="AY168" s="62">
        <v>37898</v>
      </c>
      <c r="AZ168">
        <v>10314</v>
      </c>
      <c r="BA168">
        <v>2094.3000000000002</v>
      </c>
      <c r="BU168" t="s">
        <v>8</v>
      </c>
      <c r="BV168" t="s">
        <v>287</v>
      </c>
      <c r="BW168" s="62">
        <v>37898</v>
      </c>
      <c r="BX168">
        <v>10314</v>
      </c>
      <c r="BY168">
        <v>2094.3000000000002</v>
      </c>
    </row>
    <row r="169" spans="37:77" x14ac:dyDescent="0.3">
      <c r="AK169" s="70" t="s">
        <v>286</v>
      </c>
      <c r="AL169" s="72">
        <v>40992</v>
      </c>
      <c r="AM169"/>
      <c r="AW169" t="s">
        <v>7</v>
      </c>
      <c r="AX169" t="s">
        <v>13</v>
      </c>
      <c r="AY169" s="62">
        <v>37981</v>
      </c>
      <c r="AZ169">
        <v>10390</v>
      </c>
      <c r="BA169">
        <v>2090.88</v>
      </c>
      <c r="BU169" t="s">
        <v>7</v>
      </c>
      <c r="BV169" t="s">
        <v>13</v>
      </c>
      <c r="BW169" s="62">
        <v>37981</v>
      </c>
      <c r="BX169">
        <v>10390</v>
      </c>
      <c r="BY169">
        <v>2090.88</v>
      </c>
    </row>
    <row r="170" spans="37:77" x14ac:dyDescent="0.3">
      <c r="AK170" s="70" t="s">
        <v>280</v>
      </c>
      <c r="AL170" s="72">
        <v>40993</v>
      </c>
      <c r="AM170"/>
      <c r="AW170" t="s">
        <v>8</v>
      </c>
      <c r="AX170" t="s">
        <v>14</v>
      </c>
      <c r="AY170" s="62">
        <v>38402</v>
      </c>
      <c r="AZ170">
        <v>10892</v>
      </c>
      <c r="BA170">
        <v>2090</v>
      </c>
      <c r="BU170" t="s">
        <v>8</v>
      </c>
      <c r="BV170" t="s">
        <v>14</v>
      </c>
      <c r="BW170" s="62">
        <v>38402</v>
      </c>
      <c r="BX170">
        <v>10892</v>
      </c>
      <c r="BY170">
        <v>2090</v>
      </c>
    </row>
    <row r="171" spans="37:77" x14ac:dyDescent="0.3">
      <c r="AK171" s="70" t="s">
        <v>281</v>
      </c>
      <c r="AL171" s="72">
        <v>40994</v>
      </c>
      <c r="AM171"/>
      <c r="AW171" t="s">
        <v>7</v>
      </c>
      <c r="AX171" t="s">
        <v>288</v>
      </c>
      <c r="AY171" s="62">
        <v>38158</v>
      </c>
      <c r="AZ171">
        <v>10573</v>
      </c>
      <c r="BA171">
        <v>2082</v>
      </c>
      <c r="BU171" t="s">
        <v>7</v>
      </c>
      <c r="BV171" t="s">
        <v>288</v>
      </c>
      <c r="BW171" s="62">
        <v>38158</v>
      </c>
      <c r="BX171">
        <v>10573</v>
      </c>
      <c r="BY171">
        <v>2082</v>
      </c>
    </row>
    <row r="172" spans="37:77" x14ac:dyDescent="0.3">
      <c r="AK172" s="70" t="s">
        <v>282</v>
      </c>
      <c r="AL172" s="72">
        <v>40995</v>
      </c>
      <c r="AM172"/>
      <c r="AW172" t="s">
        <v>8</v>
      </c>
      <c r="AX172" t="s">
        <v>15</v>
      </c>
      <c r="AY172" s="62">
        <v>38270</v>
      </c>
      <c r="AZ172">
        <v>10693</v>
      </c>
      <c r="BA172">
        <v>2071.1999999999998</v>
      </c>
      <c r="BU172" t="s">
        <v>8</v>
      </c>
      <c r="BV172" t="s">
        <v>15</v>
      </c>
      <c r="BW172" s="62">
        <v>38270</v>
      </c>
      <c r="BX172">
        <v>10693</v>
      </c>
      <c r="BY172">
        <v>2071.1999999999998</v>
      </c>
    </row>
    <row r="173" spans="37:77" x14ac:dyDescent="0.3">
      <c r="AK173" s="70" t="s">
        <v>283</v>
      </c>
      <c r="AL173" s="72">
        <v>40996</v>
      </c>
      <c r="AM173"/>
      <c r="AW173" t="s">
        <v>7</v>
      </c>
      <c r="AX173" t="s">
        <v>17</v>
      </c>
      <c r="AY173" s="62">
        <v>38392</v>
      </c>
      <c r="AZ173">
        <v>10872</v>
      </c>
      <c r="BA173">
        <v>2058.46</v>
      </c>
      <c r="BU173" t="s">
        <v>7</v>
      </c>
      <c r="BV173" t="s">
        <v>17</v>
      </c>
      <c r="BW173" s="62">
        <v>38392</v>
      </c>
      <c r="BX173">
        <v>10872</v>
      </c>
      <c r="BY173">
        <v>2058.46</v>
      </c>
    </row>
    <row r="174" spans="37:77" x14ac:dyDescent="0.3">
      <c r="AK174" s="70" t="s">
        <v>284</v>
      </c>
      <c r="AL174" s="72">
        <v>40997</v>
      </c>
      <c r="AM174"/>
      <c r="AW174" t="s">
        <v>8</v>
      </c>
      <c r="AX174" t="s">
        <v>14</v>
      </c>
      <c r="AY174" s="62">
        <v>38225</v>
      </c>
      <c r="AZ174">
        <v>10641</v>
      </c>
      <c r="BA174">
        <v>2054</v>
      </c>
      <c r="BU174" t="s">
        <v>8</v>
      </c>
      <c r="BV174" t="s">
        <v>14</v>
      </c>
      <c r="BW174" s="62">
        <v>38225</v>
      </c>
      <c r="BX174">
        <v>10641</v>
      </c>
      <c r="BY174">
        <v>2054</v>
      </c>
    </row>
    <row r="175" spans="37:77" x14ac:dyDescent="0.3">
      <c r="AK175" s="70" t="s">
        <v>285</v>
      </c>
      <c r="AL175" s="72">
        <v>40998</v>
      </c>
      <c r="AM175"/>
      <c r="AW175" t="s">
        <v>8</v>
      </c>
      <c r="AX175" t="s">
        <v>15</v>
      </c>
      <c r="AY175" s="62">
        <v>38435</v>
      </c>
      <c r="AZ175">
        <v>10964</v>
      </c>
      <c r="BA175">
        <v>2052.5</v>
      </c>
      <c r="BU175" t="s">
        <v>8</v>
      </c>
      <c r="BV175" t="s">
        <v>15</v>
      </c>
      <c r="BW175" s="62">
        <v>38435</v>
      </c>
      <c r="BX175">
        <v>10964</v>
      </c>
      <c r="BY175">
        <v>2052.5</v>
      </c>
    </row>
    <row r="176" spans="37:77" x14ac:dyDescent="0.3">
      <c r="AK176" s="70" t="s">
        <v>279</v>
      </c>
      <c r="AL176" s="72">
        <v>40999</v>
      </c>
      <c r="AM176"/>
      <c r="AW176" t="s">
        <v>7</v>
      </c>
      <c r="AX176" t="s">
        <v>13</v>
      </c>
      <c r="AY176" s="62">
        <v>38093</v>
      </c>
      <c r="AZ176">
        <v>10503</v>
      </c>
      <c r="BA176">
        <v>2048.5</v>
      </c>
      <c r="BU176" t="s">
        <v>7</v>
      </c>
      <c r="BV176" t="s">
        <v>13</v>
      </c>
      <c r="BW176" s="62">
        <v>38093</v>
      </c>
      <c r="BX176">
        <v>10503</v>
      </c>
      <c r="BY176">
        <v>2048.5</v>
      </c>
    </row>
    <row r="177" spans="37:77" x14ac:dyDescent="0.3">
      <c r="AK177" s="70" t="s">
        <v>286</v>
      </c>
      <c r="AL177" s="72">
        <v>41000</v>
      </c>
      <c r="AM177"/>
      <c r="AW177" t="s">
        <v>8</v>
      </c>
      <c r="AX177" t="s">
        <v>289</v>
      </c>
      <c r="AY177" s="62">
        <v>38389</v>
      </c>
      <c r="AZ177">
        <v>10857</v>
      </c>
      <c r="BA177">
        <v>2048.2199999999998</v>
      </c>
      <c r="BU177" t="s">
        <v>8</v>
      </c>
      <c r="BV177" t="s">
        <v>289</v>
      </c>
      <c r="BW177" s="62">
        <v>38389</v>
      </c>
      <c r="BX177">
        <v>10857</v>
      </c>
      <c r="BY177">
        <v>2048.2199999999998</v>
      </c>
    </row>
    <row r="178" spans="37:77" x14ac:dyDescent="0.3">
      <c r="AK178" s="70" t="s">
        <v>280</v>
      </c>
      <c r="AL178" s="72">
        <v>41001</v>
      </c>
      <c r="AM178"/>
      <c r="AW178" t="s">
        <v>8</v>
      </c>
      <c r="AX178" t="s">
        <v>287</v>
      </c>
      <c r="AY178" s="62">
        <v>37958</v>
      </c>
      <c r="AZ178">
        <v>10361</v>
      </c>
      <c r="BA178">
        <v>2046.24</v>
      </c>
      <c r="BU178" t="s">
        <v>8</v>
      </c>
      <c r="BV178" t="s">
        <v>287</v>
      </c>
      <c r="BW178" s="62">
        <v>37958</v>
      </c>
      <c r="BX178">
        <v>10361</v>
      </c>
      <c r="BY178">
        <v>2046.24</v>
      </c>
    </row>
    <row r="179" spans="37:77" x14ac:dyDescent="0.3">
      <c r="AK179" s="70" t="s">
        <v>281</v>
      </c>
      <c r="AL179" s="72">
        <v>41002</v>
      </c>
      <c r="AM179"/>
      <c r="AW179" t="s">
        <v>8</v>
      </c>
      <c r="AX179" t="s">
        <v>15</v>
      </c>
      <c r="AY179" s="62">
        <v>37845</v>
      </c>
      <c r="AZ179">
        <v>10273</v>
      </c>
      <c r="BA179">
        <v>2037.28</v>
      </c>
      <c r="BU179" t="s">
        <v>8</v>
      </c>
      <c r="BV179" t="s">
        <v>15</v>
      </c>
      <c r="BW179" s="62">
        <v>37845</v>
      </c>
      <c r="BX179">
        <v>10273</v>
      </c>
      <c r="BY179">
        <v>2037.28</v>
      </c>
    </row>
    <row r="180" spans="37:77" x14ac:dyDescent="0.3">
      <c r="AK180" s="70" t="s">
        <v>282</v>
      </c>
      <c r="AL180" s="72">
        <v>41003</v>
      </c>
      <c r="AM180"/>
      <c r="AW180" t="s">
        <v>7</v>
      </c>
      <c r="AX180" t="s">
        <v>288</v>
      </c>
      <c r="AY180" s="62">
        <v>37918</v>
      </c>
      <c r="AZ180">
        <v>10335</v>
      </c>
      <c r="BA180">
        <v>2036.16</v>
      </c>
      <c r="BU180" t="s">
        <v>7</v>
      </c>
      <c r="BV180" t="s">
        <v>288</v>
      </c>
      <c r="BW180" s="62">
        <v>37918</v>
      </c>
      <c r="BX180">
        <v>10335</v>
      </c>
      <c r="BY180">
        <v>2036.16</v>
      </c>
    </row>
    <row r="181" spans="37:77" x14ac:dyDescent="0.3">
      <c r="AK181" s="70" t="s">
        <v>283</v>
      </c>
      <c r="AL181" s="72">
        <v>41004</v>
      </c>
      <c r="AM181"/>
      <c r="AW181" t="s">
        <v>8</v>
      </c>
      <c r="AX181" t="s">
        <v>287</v>
      </c>
      <c r="AY181" s="62">
        <v>38337</v>
      </c>
      <c r="AZ181">
        <v>10773</v>
      </c>
      <c r="BA181">
        <v>2030.4</v>
      </c>
      <c r="BU181" t="s">
        <v>8</v>
      </c>
      <c r="BV181" t="s">
        <v>287</v>
      </c>
      <c r="BW181" s="62">
        <v>38337</v>
      </c>
      <c r="BX181">
        <v>10773</v>
      </c>
      <c r="BY181">
        <v>2030.4</v>
      </c>
    </row>
    <row r="182" spans="37:77" x14ac:dyDescent="0.3">
      <c r="AK182" s="70" t="s">
        <v>284</v>
      </c>
      <c r="AL182" s="72">
        <v>41005</v>
      </c>
      <c r="AM182"/>
      <c r="AW182" t="s">
        <v>8</v>
      </c>
      <c r="AX182" t="s">
        <v>18</v>
      </c>
      <c r="AY182" s="62">
        <v>38444</v>
      </c>
      <c r="AZ182">
        <v>10985</v>
      </c>
      <c r="BA182">
        <v>2023.38</v>
      </c>
      <c r="BU182" t="s">
        <v>8</v>
      </c>
      <c r="BV182" t="s">
        <v>18</v>
      </c>
      <c r="BW182" s="62">
        <v>38444</v>
      </c>
      <c r="BX182">
        <v>10985</v>
      </c>
      <c r="BY182">
        <v>2023.38</v>
      </c>
    </row>
    <row r="183" spans="37:77" x14ac:dyDescent="0.3">
      <c r="AK183" s="70" t="s">
        <v>285</v>
      </c>
      <c r="AL183" s="72">
        <v>41006</v>
      </c>
      <c r="AM183"/>
      <c r="AW183" t="s">
        <v>8</v>
      </c>
      <c r="AX183" t="s">
        <v>289</v>
      </c>
      <c r="AY183" s="62">
        <v>38043</v>
      </c>
      <c r="AZ183">
        <v>10452</v>
      </c>
      <c r="BA183">
        <v>2018.5</v>
      </c>
      <c r="BU183" t="s">
        <v>8</v>
      </c>
      <c r="BV183" t="s">
        <v>289</v>
      </c>
      <c r="BW183" s="62">
        <v>38043</v>
      </c>
      <c r="BX183">
        <v>10452</v>
      </c>
      <c r="BY183">
        <v>2018.5</v>
      </c>
    </row>
    <row r="184" spans="37:77" x14ac:dyDescent="0.3">
      <c r="AK184" s="70" t="s">
        <v>279</v>
      </c>
      <c r="AL184" s="72">
        <v>41007</v>
      </c>
      <c r="AM184"/>
      <c r="AW184" t="s">
        <v>8</v>
      </c>
      <c r="AX184" t="s">
        <v>15</v>
      </c>
      <c r="AY184" s="62">
        <v>38028</v>
      </c>
      <c r="AZ184">
        <v>10436</v>
      </c>
      <c r="BA184">
        <v>1994.52</v>
      </c>
      <c r="BU184" t="s">
        <v>8</v>
      </c>
      <c r="BV184" t="s">
        <v>15</v>
      </c>
      <c r="BW184" s="62">
        <v>38028</v>
      </c>
      <c r="BX184">
        <v>10436</v>
      </c>
      <c r="BY184">
        <v>1994.52</v>
      </c>
    </row>
    <row r="185" spans="37:77" x14ac:dyDescent="0.3">
      <c r="AK185" s="70" t="s">
        <v>286</v>
      </c>
      <c r="AL185" s="72">
        <v>41008</v>
      </c>
      <c r="AM185"/>
      <c r="AW185" t="s">
        <v>7</v>
      </c>
      <c r="AX185" t="s">
        <v>288</v>
      </c>
      <c r="AY185" s="62">
        <v>38212</v>
      </c>
      <c r="AZ185">
        <v>10593</v>
      </c>
      <c r="BA185">
        <v>1994.4</v>
      </c>
      <c r="BU185" t="s">
        <v>7</v>
      </c>
      <c r="BV185" t="s">
        <v>288</v>
      </c>
      <c r="BW185" s="62">
        <v>38212</v>
      </c>
      <c r="BX185">
        <v>10593</v>
      </c>
      <c r="BY185">
        <v>1994.4</v>
      </c>
    </row>
    <row r="186" spans="37:77" x14ac:dyDescent="0.3">
      <c r="AK186" s="70" t="s">
        <v>280</v>
      </c>
      <c r="AL186" s="72">
        <v>41009</v>
      </c>
      <c r="AM186"/>
      <c r="AW186" t="s">
        <v>8</v>
      </c>
      <c r="AX186" t="s">
        <v>289</v>
      </c>
      <c r="AY186" s="62">
        <v>38323</v>
      </c>
      <c r="AZ186">
        <v>10756</v>
      </c>
      <c r="BA186">
        <v>1990</v>
      </c>
      <c r="BU186" t="s">
        <v>8</v>
      </c>
      <c r="BV186" t="s">
        <v>289</v>
      </c>
      <c r="BW186" s="62">
        <v>38323</v>
      </c>
      <c r="BX186">
        <v>10756</v>
      </c>
      <c r="BY186">
        <v>1990</v>
      </c>
    </row>
    <row r="187" spans="37:77" x14ac:dyDescent="0.3">
      <c r="AK187" s="70" t="s">
        <v>281</v>
      </c>
      <c r="AL187" s="72">
        <v>41010</v>
      </c>
      <c r="AM187"/>
      <c r="AW187" t="s">
        <v>7</v>
      </c>
      <c r="AX187" t="s">
        <v>16</v>
      </c>
      <c r="AY187" s="62">
        <v>38393</v>
      </c>
      <c r="AZ187">
        <v>10871</v>
      </c>
      <c r="BA187">
        <v>1979.23</v>
      </c>
      <c r="BU187" t="s">
        <v>7</v>
      </c>
      <c r="BV187" t="s">
        <v>16</v>
      </c>
      <c r="BW187" s="62">
        <v>38393</v>
      </c>
      <c r="BX187">
        <v>10871</v>
      </c>
      <c r="BY187">
        <v>1979.23</v>
      </c>
    </row>
    <row r="188" spans="37:77" x14ac:dyDescent="0.3">
      <c r="AK188" s="70" t="s">
        <v>282</v>
      </c>
      <c r="AL188" s="72">
        <v>41011</v>
      </c>
      <c r="AM188"/>
      <c r="AW188" t="s">
        <v>8</v>
      </c>
      <c r="AX188" t="s">
        <v>14</v>
      </c>
      <c r="AY188" s="62">
        <v>38373</v>
      </c>
      <c r="AZ188">
        <v>10830</v>
      </c>
      <c r="BA188">
        <v>1974</v>
      </c>
      <c r="BU188" t="s">
        <v>8</v>
      </c>
      <c r="BV188" t="s">
        <v>14</v>
      </c>
      <c r="BW188" s="62">
        <v>38373</v>
      </c>
      <c r="BX188">
        <v>10830</v>
      </c>
      <c r="BY188">
        <v>1974</v>
      </c>
    </row>
    <row r="189" spans="37:77" x14ac:dyDescent="0.3">
      <c r="AK189" s="70" t="s">
        <v>283</v>
      </c>
      <c r="AL189" s="72">
        <v>41012</v>
      </c>
      <c r="AM189"/>
      <c r="AW189" t="s">
        <v>8</v>
      </c>
      <c r="AX189" t="s">
        <v>14</v>
      </c>
      <c r="AY189" s="62">
        <v>38462</v>
      </c>
      <c r="AZ189">
        <v>11024</v>
      </c>
      <c r="BA189">
        <v>1966.81</v>
      </c>
      <c r="BU189" t="s">
        <v>8</v>
      </c>
      <c r="BV189" t="s">
        <v>14</v>
      </c>
      <c r="BW189" s="62">
        <v>38462</v>
      </c>
      <c r="BX189">
        <v>11024</v>
      </c>
      <c r="BY189">
        <v>1966.81</v>
      </c>
    </row>
    <row r="190" spans="37:77" x14ac:dyDescent="0.3">
      <c r="AK190" s="70" t="s">
        <v>284</v>
      </c>
      <c r="AL190" s="72">
        <v>41013</v>
      </c>
      <c r="AM190"/>
      <c r="AW190" t="s">
        <v>8</v>
      </c>
      <c r="AX190" t="s">
        <v>287</v>
      </c>
      <c r="AY190" s="62">
        <v>38402</v>
      </c>
      <c r="AZ190">
        <v>10877</v>
      </c>
      <c r="BA190">
        <v>1955.13</v>
      </c>
      <c r="BU190" t="s">
        <v>8</v>
      </c>
      <c r="BV190" t="s">
        <v>287</v>
      </c>
      <c r="BW190" s="62">
        <v>38402</v>
      </c>
      <c r="BX190">
        <v>10877</v>
      </c>
      <c r="BY190">
        <v>1955.13</v>
      </c>
    </row>
    <row r="191" spans="37:77" x14ac:dyDescent="0.3">
      <c r="AK191" s="70" t="s">
        <v>285</v>
      </c>
      <c r="AL191" s="72">
        <v>41014</v>
      </c>
      <c r="AM191"/>
      <c r="AW191" t="s">
        <v>8</v>
      </c>
      <c r="AX191" t="s">
        <v>14</v>
      </c>
      <c r="AY191" s="62">
        <v>38319</v>
      </c>
      <c r="AZ191">
        <v>10755</v>
      </c>
      <c r="BA191">
        <v>1948.5</v>
      </c>
      <c r="BU191" t="s">
        <v>8</v>
      </c>
      <c r="BV191" t="s">
        <v>14</v>
      </c>
      <c r="BW191" s="62">
        <v>38319</v>
      </c>
      <c r="BX191">
        <v>10755</v>
      </c>
      <c r="BY191">
        <v>1948.5</v>
      </c>
    </row>
    <row r="192" spans="37:77" x14ac:dyDescent="0.3">
      <c r="AK192" s="70" t="s">
        <v>279</v>
      </c>
      <c r="AL192" s="72">
        <v>41015</v>
      </c>
      <c r="AM192"/>
      <c r="AW192" t="s">
        <v>8</v>
      </c>
      <c r="AX192" t="s">
        <v>18</v>
      </c>
      <c r="AY192" s="62">
        <v>38136</v>
      </c>
      <c r="AZ192">
        <v>10541</v>
      </c>
      <c r="BA192">
        <v>1946.52</v>
      </c>
      <c r="BU192" t="s">
        <v>8</v>
      </c>
      <c r="BV192" t="s">
        <v>18</v>
      </c>
      <c r="BW192" s="62">
        <v>38136</v>
      </c>
      <c r="BX192">
        <v>10541</v>
      </c>
      <c r="BY192">
        <v>1946.52</v>
      </c>
    </row>
    <row r="193" spans="37:77" x14ac:dyDescent="0.3">
      <c r="AK193" s="70" t="s">
        <v>286</v>
      </c>
      <c r="AL193" s="72">
        <v>41016</v>
      </c>
      <c r="AM193"/>
      <c r="AW193" t="s">
        <v>7</v>
      </c>
      <c r="AX193" t="s">
        <v>288</v>
      </c>
      <c r="AY193" s="62">
        <v>38105</v>
      </c>
      <c r="AZ193">
        <v>10513</v>
      </c>
      <c r="BA193">
        <v>1942</v>
      </c>
      <c r="BU193" t="s">
        <v>7</v>
      </c>
      <c r="BV193" t="s">
        <v>288</v>
      </c>
      <c r="BW193" s="62">
        <v>38105</v>
      </c>
      <c r="BX193">
        <v>10513</v>
      </c>
      <c r="BY193">
        <v>1942</v>
      </c>
    </row>
    <row r="194" spans="37:77" x14ac:dyDescent="0.3">
      <c r="AK194" s="70" t="s">
        <v>280</v>
      </c>
      <c r="AL194" s="72">
        <v>41017</v>
      </c>
      <c r="AM194"/>
      <c r="AW194" t="s">
        <v>8</v>
      </c>
      <c r="AX194" t="s">
        <v>14</v>
      </c>
      <c r="AY194" s="62">
        <v>38128</v>
      </c>
      <c r="AZ194">
        <v>10535</v>
      </c>
      <c r="BA194">
        <v>1940.85</v>
      </c>
      <c r="BU194" t="s">
        <v>8</v>
      </c>
      <c r="BV194" t="s">
        <v>14</v>
      </c>
      <c r="BW194" s="62">
        <v>38128</v>
      </c>
      <c r="BX194">
        <v>10535</v>
      </c>
      <c r="BY194">
        <v>1940.85</v>
      </c>
    </row>
    <row r="195" spans="37:77" x14ac:dyDescent="0.3">
      <c r="AK195" s="70" t="s">
        <v>281</v>
      </c>
      <c r="AL195" s="72">
        <v>41018</v>
      </c>
      <c r="AM195"/>
      <c r="AW195" t="s">
        <v>8</v>
      </c>
      <c r="AX195" t="s">
        <v>15</v>
      </c>
      <c r="AY195" s="62">
        <v>38375</v>
      </c>
      <c r="AZ195">
        <v>10838</v>
      </c>
      <c r="BA195">
        <v>1938.38</v>
      </c>
      <c r="BU195" t="s">
        <v>8</v>
      </c>
      <c r="BV195" t="s">
        <v>15</v>
      </c>
      <c r="BW195" s="62">
        <v>38375</v>
      </c>
      <c r="BX195">
        <v>10838</v>
      </c>
      <c r="BY195">
        <v>1938.38</v>
      </c>
    </row>
    <row r="196" spans="37:77" x14ac:dyDescent="0.3">
      <c r="AK196" s="70" t="s">
        <v>282</v>
      </c>
      <c r="AL196" s="72">
        <v>41019</v>
      </c>
      <c r="AM196"/>
      <c r="AW196" t="s">
        <v>8</v>
      </c>
      <c r="AX196" t="s">
        <v>287</v>
      </c>
      <c r="AY196" s="62">
        <v>38420</v>
      </c>
      <c r="AZ196">
        <v>10921</v>
      </c>
      <c r="BA196">
        <v>1936</v>
      </c>
      <c r="BU196" t="s">
        <v>8</v>
      </c>
      <c r="BV196" t="s">
        <v>287</v>
      </c>
      <c r="BW196" s="62">
        <v>38420</v>
      </c>
      <c r="BX196">
        <v>10921</v>
      </c>
      <c r="BY196">
        <v>1936</v>
      </c>
    </row>
    <row r="197" spans="37:77" x14ac:dyDescent="0.3">
      <c r="AK197" s="70" t="s">
        <v>283</v>
      </c>
      <c r="AL197" s="72">
        <v>41020</v>
      </c>
      <c r="AM197"/>
      <c r="AW197" t="s">
        <v>8</v>
      </c>
      <c r="AX197" t="s">
        <v>14</v>
      </c>
      <c r="AY197" s="62">
        <v>37923</v>
      </c>
      <c r="AZ197">
        <v>10338</v>
      </c>
      <c r="BA197">
        <v>1934.5</v>
      </c>
      <c r="BU197" t="s">
        <v>8</v>
      </c>
      <c r="BV197" t="s">
        <v>14</v>
      </c>
      <c r="BW197" s="62">
        <v>37923</v>
      </c>
      <c r="BX197">
        <v>10338</v>
      </c>
      <c r="BY197">
        <v>1934.5</v>
      </c>
    </row>
    <row r="198" spans="37:77" x14ac:dyDescent="0.3">
      <c r="AK198" s="70" t="s">
        <v>284</v>
      </c>
      <c r="AL198" s="72">
        <v>41021</v>
      </c>
      <c r="AM198"/>
      <c r="AW198" t="s">
        <v>8</v>
      </c>
      <c r="AX198" t="s">
        <v>18</v>
      </c>
      <c r="AY198" s="62">
        <v>38263</v>
      </c>
      <c r="AZ198">
        <v>10663</v>
      </c>
      <c r="BA198">
        <v>1930.4</v>
      </c>
      <c r="BU198" t="s">
        <v>8</v>
      </c>
      <c r="BV198" t="s">
        <v>18</v>
      </c>
      <c r="BW198" s="62">
        <v>38263</v>
      </c>
      <c r="BX198">
        <v>10663</v>
      </c>
      <c r="BY198">
        <v>1930.4</v>
      </c>
    </row>
    <row r="199" spans="37:77" x14ac:dyDescent="0.3">
      <c r="AK199" s="70" t="s">
        <v>285</v>
      </c>
      <c r="AL199" s="72">
        <v>41022</v>
      </c>
      <c r="AM199"/>
      <c r="AW199" t="s">
        <v>8</v>
      </c>
      <c r="AX199" t="s">
        <v>15</v>
      </c>
      <c r="AY199" s="62">
        <v>38410</v>
      </c>
      <c r="AZ199">
        <v>10904</v>
      </c>
      <c r="BA199">
        <v>1924.25</v>
      </c>
      <c r="BU199" t="s">
        <v>8</v>
      </c>
      <c r="BV199" t="s">
        <v>15</v>
      </c>
      <c r="BW199" s="62">
        <v>38410</v>
      </c>
      <c r="BX199">
        <v>10904</v>
      </c>
      <c r="BY199">
        <v>1924.25</v>
      </c>
    </row>
    <row r="200" spans="37:77" x14ac:dyDescent="0.3">
      <c r="AK200" s="70" t="s">
        <v>279</v>
      </c>
      <c r="AL200" s="72">
        <v>41023</v>
      </c>
      <c r="AM200"/>
      <c r="AW200" t="s">
        <v>7</v>
      </c>
      <c r="AX200" t="s">
        <v>288</v>
      </c>
      <c r="AY200" s="62">
        <v>38406</v>
      </c>
      <c r="AZ200">
        <v>10868</v>
      </c>
      <c r="BA200">
        <v>1920.6</v>
      </c>
      <c r="BU200" t="s">
        <v>7</v>
      </c>
      <c r="BV200" t="s">
        <v>288</v>
      </c>
      <c r="BW200" s="62">
        <v>38406</v>
      </c>
      <c r="BX200">
        <v>10868</v>
      </c>
      <c r="BY200">
        <v>1920.6</v>
      </c>
    </row>
    <row r="201" spans="37:77" x14ac:dyDescent="0.3">
      <c r="AK201" s="70" t="s">
        <v>286</v>
      </c>
      <c r="AL201" s="72">
        <v>41024</v>
      </c>
      <c r="AM201"/>
      <c r="AW201" t="s">
        <v>7</v>
      </c>
      <c r="AX201" t="s">
        <v>13</v>
      </c>
      <c r="AY201" s="62">
        <v>38317</v>
      </c>
      <c r="AZ201">
        <v>10747</v>
      </c>
      <c r="BA201">
        <v>1912.85</v>
      </c>
      <c r="BU201" t="s">
        <v>7</v>
      </c>
      <c r="BV201" t="s">
        <v>13</v>
      </c>
      <c r="BW201" s="62">
        <v>38317</v>
      </c>
      <c r="BX201">
        <v>10747</v>
      </c>
      <c r="BY201">
        <v>1912.85</v>
      </c>
    </row>
    <row r="202" spans="37:77" x14ac:dyDescent="0.3">
      <c r="AK202" s="70" t="s">
        <v>280</v>
      </c>
      <c r="AL202" s="72">
        <v>41025</v>
      </c>
      <c r="AM202"/>
      <c r="AW202" t="s">
        <v>8</v>
      </c>
      <c r="AX202" t="s">
        <v>287</v>
      </c>
      <c r="AY202" s="62">
        <v>37992</v>
      </c>
      <c r="AZ202">
        <v>10396</v>
      </c>
      <c r="BA202">
        <v>1903.8</v>
      </c>
      <c r="BU202" t="s">
        <v>8</v>
      </c>
      <c r="BV202" t="s">
        <v>287</v>
      </c>
      <c r="BW202" s="62">
        <v>37992</v>
      </c>
      <c r="BX202">
        <v>10396</v>
      </c>
      <c r="BY202">
        <v>1903.8</v>
      </c>
    </row>
    <row r="203" spans="37:77" x14ac:dyDescent="0.3">
      <c r="AK203" s="70" t="s">
        <v>281</v>
      </c>
      <c r="AL203" s="72">
        <v>41026</v>
      </c>
      <c r="AM203"/>
      <c r="AW203" t="s">
        <v>8</v>
      </c>
      <c r="AX203" t="s">
        <v>289</v>
      </c>
      <c r="AY203" s="62">
        <v>38281</v>
      </c>
      <c r="AZ203">
        <v>10706</v>
      </c>
      <c r="BA203">
        <v>1893</v>
      </c>
      <c r="BU203" t="s">
        <v>8</v>
      </c>
      <c r="BV203" t="s">
        <v>289</v>
      </c>
      <c r="BW203" s="62">
        <v>38281</v>
      </c>
      <c r="BX203">
        <v>10706</v>
      </c>
      <c r="BY203">
        <v>1893</v>
      </c>
    </row>
    <row r="204" spans="37:77" x14ac:dyDescent="0.3">
      <c r="AK204" s="70" t="s">
        <v>282</v>
      </c>
      <c r="AL204" s="72">
        <v>41027</v>
      </c>
      <c r="AM204"/>
      <c r="AW204" t="s">
        <v>8</v>
      </c>
      <c r="AX204" t="s">
        <v>14</v>
      </c>
      <c r="AY204" s="62">
        <v>38024</v>
      </c>
      <c r="AZ204">
        <v>10431</v>
      </c>
      <c r="BA204">
        <v>1892.25</v>
      </c>
      <c r="BU204" t="s">
        <v>8</v>
      </c>
      <c r="BV204" t="s">
        <v>14</v>
      </c>
      <c r="BW204" s="62">
        <v>38024</v>
      </c>
      <c r="BX204">
        <v>10431</v>
      </c>
      <c r="BY204">
        <v>1892.25</v>
      </c>
    </row>
    <row r="205" spans="37:77" x14ac:dyDescent="0.3">
      <c r="AK205" s="70" t="s">
        <v>283</v>
      </c>
      <c r="AL205" s="72">
        <v>41028</v>
      </c>
      <c r="AM205"/>
      <c r="AW205" t="s">
        <v>7</v>
      </c>
      <c r="AX205" t="s">
        <v>288</v>
      </c>
      <c r="AY205" s="62">
        <v>38305</v>
      </c>
      <c r="AZ205">
        <v>10731</v>
      </c>
      <c r="BA205">
        <v>1890.5</v>
      </c>
      <c r="BU205" t="s">
        <v>7</v>
      </c>
      <c r="BV205" t="s">
        <v>288</v>
      </c>
      <c r="BW205" s="62">
        <v>38305</v>
      </c>
      <c r="BX205">
        <v>10731</v>
      </c>
      <c r="BY205">
        <v>1890.5</v>
      </c>
    </row>
    <row r="206" spans="37:77" x14ac:dyDescent="0.3">
      <c r="AK206" s="70" t="s">
        <v>284</v>
      </c>
      <c r="AL206" s="72">
        <v>41029</v>
      </c>
      <c r="AM206"/>
      <c r="AW206" t="s">
        <v>8</v>
      </c>
      <c r="AX206" t="s">
        <v>14</v>
      </c>
      <c r="AY206" s="62">
        <v>37869</v>
      </c>
      <c r="AZ206">
        <v>10294</v>
      </c>
      <c r="BA206">
        <v>1887.6</v>
      </c>
      <c r="BU206" t="s">
        <v>8</v>
      </c>
      <c r="BV206" t="s">
        <v>14</v>
      </c>
      <c r="BW206" s="62">
        <v>37869</v>
      </c>
      <c r="BX206">
        <v>10294</v>
      </c>
      <c r="BY206">
        <v>1887.6</v>
      </c>
    </row>
    <row r="207" spans="37:77" x14ac:dyDescent="0.3">
      <c r="AK207" s="70" t="s">
        <v>285</v>
      </c>
      <c r="AL207" s="72">
        <v>41030</v>
      </c>
      <c r="AM207"/>
      <c r="AW207" t="s">
        <v>8</v>
      </c>
      <c r="AX207" t="s">
        <v>289</v>
      </c>
      <c r="AY207" s="62">
        <v>38455</v>
      </c>
      <c r="AZ207">
        <v>10997</v>
      </c>
      <c r="BA207">
        <v>1885</v>
      </c>
      <c r="BU207" t="s">
        <v>8</v>
      </c>
      <c r="BV207" t="s">
        <v>289</v>
      </c>
      <c r="BW207" s="62">
        <v>38455</v>
      </c>
      <c r="BX207">
        <v>10997</v>
      </c>
      <c r="BY207">
        <v>1885</v>
      </c>
    </row>
    <row r="208" spans="37:77" x14ac:dyDescent="0.3">
      <c r="AK208" s="70" t="s">
        <v>279</v>
      </c>
      <c r="AL208" s="72">
        <v>41031</v>
      </c>
      <c r="AM208"/>
      <c r="AW208" t="s">
        <v>7</v>
      </c>
      <c r="AX208" t="s">
        <v>16</v>
      </c>
      <c r="AY208" s="62">
        <v>37833</v>
      </c>
      <c r="AZ208">
        <v>10263</v>
      </c>
      <c r="BA208">
        <v>1873.8</v>
      </c>
      <c r="BU208" t="s">
        <v>7</v>
      </c>
      <c r="BV208" t="s">
        <v>16</v>
      </c>
      <c r="BW208" s="62">
        <v>37833</v>
      </c>
      <c r="BX208">
        <v>10263</v>
      </c>
      <c r="BY208">
        <v>1873.8</v>
      </c>
    </row>
    <row r="209" spans="37:77" x14ac:dyDescent="0.3">
      <c r="AK209" s="70" t="s">
        <v>286</v>
      </c>
      <c r="AL209" s="72">
        <v>41032</v>
      </c>
      <c r="AM209"/>
      <c r="AW209" t="s">
        <v>7</v>
      </c>
      <c r="AX209" t="s">
        <v>13</v>
      </c>
      <c r="AY209" s="62">
        <v>37812</v>
      </c>
      <c r="AZ209">
        <v>10249</v>
      </c>
      <c r="BA209">
        <v>1863.4</v>
      </c>
      <c r="BU209" t="s">
        <v>7</v>
      </c>
      <c r="BV209" t="s">
        <v>13</v>
      </c>
      <c r="BW209" s="62">
        <v>37812</v>
      </c>
      <c r="BX209">
        <v>10249</v>
      </c>
      <c r="BY209">
        <v>1863.4</v>
      </c>
    </row>
    <row r="210" spans="37:77" x14ac:dyDescent="0.3">
      <c r="AK210" s="70" t="s">
        <v>280</v>
      </c>
      <c r="AL210" s="72">
        <v>41033</v>
      </c>
      <c r="AM210"/>
      <c r="AW210" t="s">
        <v>8</v>
      </c>
      <c r="AX210" t="s">
        <v>289</v>
      </c>
      <c r="AY210" s="62">
        <v>38305</v>
      </c>
      <c r="AZ210">
        <v>10729</v>
      </c>
      <c r="BA210">
        <v>1850</v>
      </c>
      <c r="BU210" t="s">
        <v>8</v>
      </c>
      <c r="BV210" t="s">
        <v>289</v>
      </c>
      <c r="BW210" s="62">
        <v>38305</v>
      </c>
      <c r="BX210">
        <v>10729</v>
      </c>
      <c r="BY210">
        <v>1850</v>
      </c>
    </row>
    <row r="211" spans="37:77" x14ac:dyDescent="0.3">
      <c r="AK211" s="70" t="s">
        <v>281</v>
      </c>
      <c r="AL211" s="72">
        <v>41034</v>
      </c>
      <c r="AM211"/>
      <c r="AW211" t="s">
        <v>8</v>
      </c>
      <c r="AX211" t="s">
        <v>14</v>
      </c>
      <c r="AY211" s="62">
        <v>37929</v>
      </c>
      <c r="AZ211">
        <v>10342</v>
      </c>
      <c r="BA211">
        <v>1840.64</v>
      </c>
      <c r="BU211" t="s">
        <v>8</v>
      </c>
      <c r="BV211" t="s">
        <v>14</v>
      </c>
      <c r="BW211" s="62">
        <v>37929</v>
      </c>
      <c r="BX211">
        <v>10342</v>
      </c>
      <c r="BY211">
        <v>1840.64</v>
      </c>
    </row>
    <row r="212" spans="37:77" x14ac:dyDescent="0.3">
      <c r="AK212" s="70" t="s">
        <v>282</v>
      </c>
      <c r="AL212" s="72">
        <v>41035</v>
      </c>
      <c r="AM212"/>
      <c r="AW212" t="s">
        <v>8</v>
      </c>
      <c r="AX212" t="s">
        <v>15</v>
      </c>
      <c r="AY212" s="62">
        <v>38044</v>
      </c>
      <c r="AZ212">
        <v>10449</v>
      </c>
      <c r="BA212">
        <v>1838.2</v>
      </c>
      <c r="BU212" t="s">
        <v>8</v>
      </c>
      <c r="BV212" t="s">
        <v>15</v>
      </c>
      <c r="BW212" s="62">
        <v>38044</v>
      </c>
      <c r="BX212">
        <v>10449</v>
      </c>
      <c r="BY212">
        <v>1838.2</v>
      </c>
    </row>
    <row r="213" spans="37:77" x14ac:dyDescent="0.3">
      <c r="AK213" s="70" t="s">
        <v>283</v>
      </c>
      <c r="AL213" s="72">
        <v>41036</v>
      </c>
      <c r="AM213"/>
      <c r="AW213" t="s">
        <v>8</v>
      </c>
      <c r="AX213" t="s">
        <v>15</v>
      </c>
      <c r="AY213" s="62">
        <v>38450</v>
      </c>
      <c r="AZ213">
        <v>10924</v>
      </c>
      <c r="BA213">
        <v>1835.7</v>
      </c>
      <c r="BU213" t="s">
        <v>8</v>
      </c>
      <c r="BV213" t="s">
        <v>15</v>
      </c>
      <c r="BW213" s="62">
        <v>38450</v>
      </c>
      <c r="BX213">
        <v>10924</v>
      </c>
      <c r="BY213">
        <v>1835.7</v>
      </c>
    </row>
    <row r="214" spans="37:77" x14ac:dyDescent="0.3">
      <c r="AK214" s="70" t="s">
        <v>284</v>
      </c>
      <c r="AL214" s="72">
        <v>41037</v>
      </c>
      <c r="AM214"/>
      <c r="AW214" t="s">
        <v>8</v>
      </c>
      <c r="AX214" t="s">
        <v>14</v>
      </c>
      <c r="AY214" s="62">
        <v>37979</v>
      </c>
      <c r="AZ214">
        <v>10389</v>
      </c>
      <c r="BA214">
        <v>1832.8</v>
      </c>
      <c r="BU214" t="s">
        <v>8</v>
      </c>
      <c r="BV214" t="s">
        <v>14</v>
      </c>
      <c r="BW214" s="62">
        <v>37979</v>
      </c>
      <c r="BX214">
        <v>10389</v>
      </c>
      <c r="BY214">
        <v>1832.8</v>
      </c>
    </row>
    <row r="215" spans="37:77" x14ac:dyDescent="0.3">
      <c r="AK215" s="70" t="s">
        <v>285</v>
      </c>
      <c r="AL215" s="72">
        <v>41038</v>
      </c>
      <c r="AM215"/>
      <c r="AW215" t="s">
        <v>7</v>
      </c>
      <c r="AX215" t="s">
        <v>288</v>
      </c>
      <c r="AY215" s="62">
        <v>37999</v>
      </c>
      <c r="AZ215">
        <v>10406</v>
      </c>
      <c r="BA215">
        <v>1830.78</v>
      </c>
      <c r="BU215" t="s">
        <v>7</v>
      </c>
      <c r="BV215" t="s">
        <v>288</v>
      </c>
      <c r="BW215" s="62">
        <v>37999</v>
      </c>
      <c r="BX215">
        <v>10406</v>
      </c>
      <c r="BY215">
        <v>1830.78</v>
      </c>
    </row>
    <row r="216" spans="37:77" x14ac:dyDescent="0.3">
      <c r="AK216" s="70" t="s">
        <v>279</v>
      </c>
      <c r="AL216" s="72">
        <v>41039</v>
      </c>
      <c r="AM216"/>
      <c r="AW216" t="s">
        <v>7</v>
      </c>
      <c r="AX216" t="s">
        <v>13</v>
      </c>
      <c r="AY216" s="62">
        <v>38353</v>
      </c>
      <c r="AZ216">
        <v>10791</v>
      </c>
      <c r="BA216">
        <v>1829.76</v>
      </c>
      <c r="BU216" t="s">
        <v>7</v>
      </c>
      <c r="BV216" t="s">
        <v>13</v>
      </c>
      <c r="BW216" s="62">
        <v>38353</v>
      </c>
      <c r="BX216">
        <v>10791</v>
      </c>
      <c r="BY216">
        <v>1829.76</v>
      </c>
    </row>
    <row r="217" spans="37:77" x14ac:dyDescent="0.3">
      <c r="AK217" s="70" t="s">
        <v>286</v>
      </c>
      <c r="AL217" s="72">
        <v>41040</v>
      </c>
      <c r="AM217"/>
      <c r="AW217" t="s">
        <v>8</v>
      </c>
      <c r="AX217" t="s">
        <v>287</v>
      </c>
      <c r="AY217" s="62">
        <v>38126</v>
      </c>
      <c r="AZ217">
        <v>10537</v>
      </c>
      <c r="BA217">
        <v>1823.8</v>
      </c>
      <c r="BU217" t="s">
        <v>8</v>
      </c>
      <c r="BV217" t="s">
        <v>287</v>
      </c>
      <c r="BW217" s="62">
        <v>38126</v>
      </c>
      <c r="BX217">
        <v>10537</v>
      </c>
      <c r="BY217">
        <v>1823.8</v>
      </c>
    </row>
    <row r="218" spans="37:77" x14ac:dyDescent="0.3">
      <c r="AK218" s="70" t="s">
        <v>280</v>
      </c>
      <c r="AL218" s="72">
        <v>41041</v>
      </c>
      <c r="AM218"/>
      <c r="AW218" t="s">
        <v>8</v>
      </c>
      <c r="AX218" t="s">
        <v>14</v>
      </c>
      <c r="AY218" s="62">
        <v>38060</v>
      </c>
      <c r="AZ218">
        <v>10470</v>
      </c>
      <c r="BA218">
        <v>1820.8</v>
      </c>
      <c r="BU218" t="s">
        <v>8</v>
      </c>
      <c r="BV218" t="s">
        <v>14</v>
      </c>
      <c r="BW218" s="62">
        <v>38060</v>
      </c>
      <c r="BX218">
        <v>10470</v>
      </c>
      <c r="BY218">
        <v>1820.8</v>
      </c>
    </row>
    <row r="219" spans="37:77" x14ac:dyDescent="0.3">
      <c r="AK219" s="70" t="s">
        <v>281</v>
      </c>
      <c r="AL219" s="72">
        <v>41042</v>
      </c>
      <c r="AM219"/>
      <c r="AW219" t="s">
        <v>8</v>
      </c>
      <c r="AX219" t="s">
        <v>14</v>
      </c>
      <c r="AY219" s="62">
        <v>38010</v>
      </c>
      <c r="AZ219">
        <v>10418</v>
      </c>
      <c r="BA219">
        <v>1814.8</v>
      </c>
      <c r="BU219" t="s">
        <v>8</v>
      </c>
      <c r="BV219" t="s">
        <v>14</v>
      </c>
      <c r="BW219" s="62">
        <v>38010</v>
      </c>
      <c r="BX219">
        <v>10418</v>
      </c>
      <c r="BY219">
        <v>1814.8</v>
      </c>
    </row>
    <row r="220" spans="37:77" x14ac:dyDescent="0.3">
      <c r="AK220" s="70" t="s">
        <v>282</v>
      </c>
      <c r="AL220" s="72">
        <v>41043</v>
      </c>
      <c r="AM220"/>
      <c r="AW220" t="s">
        <v>8</v>
      </c>
      <c r="AX220" t="s">
        <v>14</v>
      </c>
      <c r="AY220" s="62">
        <v>38458</v>
      </c>
      <c r="AZ220">
        <v>11002</v>
      </c>
      <c r="BA220">
        <v>1811.1</v>
      </c>
      <c r="BU220" t="s">
        <v>8</v>
      </c>
      <c r="BV220" t="s">
        <v>14</v>
      </c>
      <c r="BW220" s="62">
        <v>38458</v>
      </c>
      <c r="BX220">
        <v>11002</v>
      </c>
      <c r="BY220">
        <v>1811.1</v>
      </c>
    </row>
    <row r="221" spans="37:77" x14ac:dyDescent="0.3">
      <c r="AK221" s="70" t="s">
        <v>283</v>
      </c>
      <c r="AL221" s="72">
        <v>41044</v>
      </c>
      <c r="AM221"/>
      <c r="AW221" t="s">
        <v>8</v>
      </c>
      <c r="AX221" t="s">
        <v>18</v>
      </c>
      <c r="AY221" s="62">
        <v>37908</v>
      </c>
      <c r="AZ221">
        <v>10327</v>
      </c>
      <c r="BA221">
        <v>1810</v>
      </c>
      <c r="BU221" t="s">
        <v>8</v>
      </c>
      <c r="BV221" t="s">
        <v>18</v>
      </c>
      <c r="BW221" s="62">
        <v>37908</v>
      </c>
      <c r="BX221">
        <v>10327</v>
      </c>
      <c r="BY221">
        <v>1810</v>
      </c>
    </row>
    <row r="222" spans="37:77" x14ac:dyDescent="0.3">
      <c r="AK222" s="70" t="s">
        <v>284</v>
      </c>
      <c r="AL222" s="72">
        <v>41045</v>
      </c>
      <c r="AM222"/>
      <c r="AW222" t="s">
        <v>8</v>
      </c>
      <c r="AX222" t="s">
        <v>287</v>
      </c>
      <c r="AY222" s="62">
        <v>38445</v>
      </c>
      <c r="AZ222">
        <v>10984</v>
      </c>
      <c r="BA222">
        <v>1809.75</v>
      </c>
      <c r="BU222" t="s">
        <v>8</v>
      </c>
      <c r="BV222" t="s">
        <v>287</v>
      </c>
      <c r="BW222" s="62">
        <v>38445</v>
      </c>
      <c r="BX222">
        <v>10984</v>
      </c>
      <c r="BY222">
        <v>1809.75</v>
      </c>
    </row>
    <row r="223" spans="37:77" x14ac:dyDescent="0.3">
      <c r="AK223" s="70" t="s">
        <v>285</v>
      </c>
      <c r="AL223" s="72">
        <v>41046</v>
      </c>
      <c r="AM223"/>
      <c r="AW223" t="s">
        <v>8</v>
      </c>
      <c r="AX223" t="s">
        <v>15</v>
      </c>
      <c r="AY223" s="62">
        <v>38140</v>
      </c>
      <c r="AZ223">
        <v>10547</v>
      </c>
      <c r="BA223">
        <v>1792.8</v>
      </c>
      <c r="BU223" t="s">
        <v>8</v>
      </c>
      <c r="BV223" t="s">
        <v>15</v>
      </c>
      <c r="BW223" s="62">
        <v>38140</v>
      </c>
      <c r="BX223">
        <v>10547</v>
      </c>
      <c r="BY223">
        <v>1792.8</v>
      </c>
    </row>
    <row r="224" spans="37:77" x14ac:dyDescent="0.3">
      <c r="AK224" s="70" t="s">
        <v>279</v>
      </c>
      <c r="AL224" s="72">
        <v>41047</v>
      </c>
      <c r="AM224"/>
      <c r="AW224" t="s">
        <v>8</v>
      </c>
      <c r="AX224" t="s">
        <v>15</v>
      </c>
      <c r="AY224" s="62">
        <v>38035</v>
      </c>
      <c r="AZ224">
        <v>10442</v>
      </c>
      <c r="BA224">
        <v>1792</v>
      </c>
      <c r="BU224" t="s">
        <v>8</v>
      </c>
      <c r="BV224" t="s">
        <v>15</v>
      </c>
      <c r="BW224" s="62">
        <v>38035</v>
      </c>
      <c r="BX224">
        <v>10442</v>
      </c>
      <c r="BY224">
        <v>1792</v>
      </c>
    </row>
    <row r="225" spans="37:77" x14ac:dyDescent="0.3">
      <c r="AK225" s="70" t="s">
        <v>286</v>
      </c>
      <c r="AL225" s="72">
        <v>41048</v>
      </c>
      <c r="AM225"/>
      <c r="AW225" t="s">
        <v>8</v>
      </c>
      <c r="AX225" t="s">
        <v>289</v>
      </c>
      <c r="AY225" s="62">
        <v>38435</v>
      </c>
      <c r="AZ225">
        <v>10932</v>
      </c>
      <c r="BA225">
        <v>1788.63</v>
      </c>
      <c r="BU225" t="s">
        <v>8</v>
      </c>
      <c r="BV225" t="s">
        <v>289</v>
      </c>
      <c r="BW225" s="62">
        <v>38435</v>
      </c>
      <c r="BX225">
        <v>10932</v>
      </c>
      <c r="BY225">
        <v>1788.63</v>
      </c>
    </row>
    <row r="226" spans="37:77" x14ac:dyDescent="0.3">
      <c r="AK226" s="70" t="s">
        <v>280</v>
      </c>
      <c r="AL226" s="72">
        <v>41049</v>
      </c>
      <c r="AM226"/>
      <c r="AW226" t="s">
        <v>8</v>
      </c>
      <c r="AX226" t="s">
        <v>15</v>
      </c>
      <c r="AY226" s="62">
        <v>38366</v>
      </c>
      <c r="AZ226">
        <v>10814</v>
      </c>
      <c r="BA226">
        <v>1788.45</v>
      </c>
      <c r="BU226" t="s">
        <v>8</v>
      </c>
      <c r="BV226" t="s">
        <v>15</v>
      </c>
      <c r="BW226" s="62">
        <v>38366</v>
      </c>
      <c r="BX226">
        <v>10814</v>
      </c>
      <c r="BY226">
        <v>1788.45</v>
      </c>
    </row>
    <row r="227" spans="37:77" x14ac:dyDescent="0.3">
      <c r="AK227" s="70" t="s">
        <v>281</v>
      </c>
      <c r="AL227" s="72">
        <v>41050</v>
      </c>
      <c r="AM227"/>
      <c r="AW227" t="s">
        <v>8</v>
      </c>
      <c r="AX227" t="s">
        <v>15</v>
      </c>
      <c r="AY227" s="62">
        <v>37915</v>
      </c>
      <c r="AZ227">
        <v>10332</v>
      </c>
      <c r="BA227">
        <v>1786.88</v>
      </c>
      <c r="BU227" t="s">
        <v>8</v>
      </c>
      <c r="BV227" t="s">
        <v>15</v>
      </c>
      <c r="BW227" s="62">
        <v>37915</v>
      </c>
      <c r="BX227">
        <v>10332</v>
      </c>
      <c r="BY227">
        <v>1786.88</v>
      </c>
    </row>
    <row r="228" spans="37:77" x14ac:dyDescent="0.3">
      <c r="AK228" s="70" t="s">
        <v>282</v>
      </c>
      <c r="AL228" s="72">
        <v>41051</v>
      </c>
      <c r="AM228"/>
      <c r="AW228" t="s">
        <v>7</v>
      </c>
      <c r="AX228" t="s">
        <v>17</v>
      </c>
      <c r="AY228" s="62">
        <v>38233</v>
      </c>
      <c r="AZ228">
        <v>10650</v>
      </c>
      <c r="BA228">
        <v>1779.2</v>
      </c>
      <c r="BU228" t="s">
        <v>7</v>
      </c>
      <c r="BV228" t="s">
        <v>17</v>
      </c>
      <c r="BW228" s="62">
        <v>38233</v>
      </c>
      <c r="BX228">
        <v>10650</v>
      </c>
      <c r="BY228">
        <v>1779.2</v>
      </c>
    </row>
    <row r="229" spans="37:77" x14ac:dyDescent="0.3">
      <c r="AK229" s="70" t="s">
        <v>283</v>
      </c>
      <c r="AL229" s="72">
        <v>41052</v>
      </c>
      <c r="AM229"/>
      <c r="AW229" t="s">
        <v>8</v>
      </c>
      <c r="AX229" t="s">
        <v>15</v>
      </c>
      <c r="AY229" s="62">
        <v>38470</v>
      </c>
      <c r="AZ229">
        <v>11041</v>
      </c>
      <c r="BA229">
        <v>1773</v>
      </c>
      <c r="BU229" t="s">
        <v>8</v>
      </c>
      <c r="BV229" t="s">
        <v>15</v>
      </c>
      <c r="BW229" s="62">
        <v>38470</v>
      </c>
      <c r="BX229">
        <v>11041</v>
      </c>
      <c r="BY229">
        <v>1773</v>
      </c>
    </row>
    <row r="230" spans="37:77" x14ac:dyDescent="0.3">
      <c r="AK230" s="70" t="s">
        <v>284</v>
      </c>
      <c r="AL230" s="72">
        <v>41053</v>
      </c>
      <c r="AM230"/>
      <c r="AW230" t="s">
        <v>8</v>
      </c>
      <c r="AX230" t="s">
        <v>15</v>
      </c>
      <c r="AY230" s="62">
        <v>38260</v>
      </c>
      <c r="AZ230">
        <v>10684</v>
      </c>
      <c r="BA230">
        <v>1768</v>
      </c>
      <c r="BU230" t="s">
        <v>8</v>
      </c>
      <c r="BV230" t="s">
        <v>15</v>
      </c>
      <c r="BW230" s="62">
        <v>38260</v>
      </c>
      <c r="BX230">
        <v>10684</v>
      </c>
      <c r="BY230">
        <v>1768</v>
      </c>
    </row>
    <row r="231" spans="37:77" x14ac:dyDescent="0.3">
      <c r="AK231" s="70" t="s">
        <v>285</v>
      </c>
      <c r="AL231" s="72">
        <v>41054</v>
      </c>
      <c r="AM231"/>
      <c r="AW231" t="s">
        <v>8</v>
      </c>
      <c r="AX231" t="s">
        <v>289</v>
      </c>
      <c r="AY231" s="62">
        <v>37994</v>
      </c>
      <c r="AZ231">
        <v>10399</v>
      </c>
      <c r="BA231">
        <v>1765.6</v>
      </c>
      <c r="BU231" t="s">
        <v>8</v>
      </c>
      <c r="BV231" t="s">
        <v>289</v>
      </c>
      <c r="BW231" s="62">
        <v>37994</v>
      </c>
      <c r="BX231">
        <v>10399</v>
      </c>
      <c r="BY231">
        <v>1765.6</v>
      </c>
    </row>
    <row r="232" spans="37:77" x14ac:dyDescent="0.3">
      <c r="AK232" s="70" t="s">
        <v>279</v>
      </c>
      <c r="AL232" s="72">
        <v>41055</v>
      </c>
      <c r="AM232"/>
      <c r="AW232" t="s">
        <v>7</v>
      </c>
      <c r="AX232" t="s">
        <v>16</v>
      </c>
      <c r="AY232" s="62">
        <v>38375</v>
      </c>
      <c r="AZ232">
        <v>10829</v>
      </c>
      <c r="BA232">
        <v>1764</v>
      </c>
      <c r="BU232" t="s">
        <v>7</v>
      </c>
      <c r="BV232" t="s">
        <v>16</v>
      </c>
      <c r="BW232" s="62">
        <v>38375</v>
      </c>
      <c r="BX232">
        <v>10829</v>
      </c>
      <c r="BY232">
        <v>1764</v>
      </c>
    </row>
    <row r="233" spans="37:77" x14ac:dyDescent="0.3">
      <c r="AK233" s="70" t="s">
        <v>286</v>
      </c>
      <c r="AL233" s="72">
        <v>41056</v>
      </c>
      <c r="AM233"/>
      <c r="AW233" t="s">
        <v>8</v>
      </c>
      <c r="AX233" t="s">
        <v>289</v>
      </c>
      <c r="AY233" s="62">
        <v>38438</v>
      </c>
      <c r="AZ233">
        <v>10957</v>
      </c>
      <c r="BA233">
        <v>1762.7</v>
      </c>
      <c r="BU233" t="s">
        <v>8</v>
      </c>
      <c r="BV233" t="s">
        <v>289</v>
      </c>
      <c r="BW233" s="62">
        <v>38438</v>
      </c>
      <c r="BX233">
        <v>10957</v>
      </c>
      <c r="BY233">
        <v>1762.7</v>
      </c>
    </row>
    <row r="234" spans="37:77" x14ac:dyDescent="0.3">
      <c r="AK234" s="70" t="s">
        <v>280</v>
      </c>
      <c r="AL234" s="72">
        <v>41057</v>
      </c>
      <c r="AM234"/>
      <c r="AW234" t="s">
        <v>8</v>
      </c>
      <c r="AX234" t="s">
        <v>15</v>
      </c>
      <c r="AY234" s="62">
        <v>37917</v>
      </c>
      <c r="AZ234">
        <v>10309</v>
      </c>
      <c r="BA234">
        <v>1762</v>
      </c>
      <c r="BU234" t="s">
        <v>8</v>
      </c>
      <c r="BV234" t="s">
        <v>15</v>
      </c>
      <c r="BW234" s="62">
        <v>37917</v>
      </c>
      <c r="BX234">
        <v>10309</v>
      </c>
      <c r="BY234">
        <v>1762</v>
      </c>
    </row>
    <row r="235" spans="37:77" x14ac:dyDescent="0.3">
      <c r="AK235" s="70" t="s">
        <v>281</v>
      </c>
      <c r="AL235" s="72">
        <v>41058</v>
      </c>
      <c r="AM235"/>
      <c r="AW235" t="s">
        <v>7</v>
      </c>
      <c r="AX235" t="s">
        <v>16</v>
      </c>
      <c r="AY235" s="62">
        <v>38156</v>
      </c>
      <c r="AZ235">
        <v>10566</v>
      </c>
      <c r="BA235">
        <v>1761</v>
      </c>
      <c r="BU235" t="s">
        <v>7</v>
      </c>
      <c r="BV235" t="s">
        <v>16</v>
      </c>
      <c r="BW235" s="62">
        <v>38156</v>
      </c>
      <c r="BX235">
        <v>10566</v>
      </c>
      <c r="BY235">
        <v>1761</v>
      </c>
    </row>
    <row r="236" spans="37:77" x14ac:dyDescent="0.3">
      <c r="AK236" s="70" t="s">
        <v>282</v>
      </c>
      <c r="AL236" s="72">
        <v>41059</v>
      </c>
      <c r="AM236"/>
      <c r="AW236" t="s">
        <v>8</v>
      </c>
      <c r="AX236" t="s">
        <v>15</v>
      </c>
      <c r="AY236" s="62">
        <v>38060</v>
      </c>
      <c r="AZ236">
        <v>10441</v>
      </c>
      <c r="BA236">
        <v>1755</v>
      </c>
      <c r="BU236" t="s">
        <v>8</v>
      </c>
      <c r="BV236" t="s">
        <v>15</v>
      </c>
      <c r="BW236" s="62">
        <v>38060</v>
      </c>
      <c r="BX236">
        <v>10441</v>
      </c>
      <c r="BY236">
        <v>1755</v>
      </c>
    </row>
    <row r="237" spans="37:77" x14ac:dyDescent="0.3">
      <c r="AK237" s="70" t="s">
        <v>283</v>
      </c>
      <c r="AL237" s="72">
        <v>41060</v>
      </c>
      <c r="AM237"/>
      <c r="AW237" t="s">
        <v>8</v>
      </c>
      <c r="AX237" t="s">
        <v>18</v>
      </c>
      <c r="AY237" s="62">
        <v>38466</v>
      </c>
      <c r="AZ237">
        <v>11035</v>
      </c>
      <c r="BA237">
        <v>1754.5</v>
      </c>
      <c r="BU237" t="s">
        <v>8</v>
      </c>
      <c r="BV237" t="s">
        <v>18</v>
      </c>
      <c r="BW237" s="62">
        <v>38466</v>
      </c>
      <c r="BX237">
        <v>11035</v>
      </c>
      <c r="BY237">
        <v>1754.5</v>
      </c>
    </row>
    <row r="238" spans="37:77" x14ac:dyDescent="0.3">
      <c r="AK238" s="70" t="s">
        <v>284</v>
      </c>
      <c r="AL238" s="72">
        <v>41061</v>
      </c>
      <c r="AM238"/>
      <c r="AW238" t="s">
        <v>8</v>
      </c>
      <c r="AX238" t="s">
        <v>287</v>
      </c>
      <c r="AY238" s="62">
        <v>37859</v>
      </c>
      <c r="AZ238">
        <v>10285</v>
      </c>
      <c r="BA238">
        <v>1743.36</v>
      </c>
      <c r="BU238" t="s">
        <v>8</v>
      </c>
      <c r="BV238" t="s">
        <v>287</v>
      </c>
      <c r="BW238" s="62">
        <v>37859</v>
      </c>
      <c r="BX238">
        <v>10285</v>
      </c>
      <c r="BY238">
        <v>1743.36</v>
      </c>
    </row>
    <row r="239" spans="37:77" x14ac:dyDescent="0.3">
      <c r="AK239" s="70" t="s">
        <v>285</v>
      </c>
      <c r="AL239" s="72">
        <v>41062</v>
      </c>
      <c r="AM239"/>
      <c r="AW239" t="s">
        <v>8</v>
      </c>
      <c r="AX239" t="s">
        <v>18</v>
      </c>
      <c r="AY239" s="62">
        <v>38444</v>
      </c>
      <c r="AZ239">
        <v>10971</v>
      </c>
      <c r="BA239">
        <v>1733.06</v>
      </c>
      <c r="BU239" t="s">
        <v>8</v>
      </c>
      <c r="BV239" t="s">
        <v>18</v>
      </c>
      <c r="BW239" s="62">
        <v>38444</v>
      </c>
      <c r="BX239">
        <v>10971</v>
      </c>
      <c r="BY239">
        <v>1733.06</v>
      </c>
    </row>
    <row r="240" spans="37:77" x14ac:dyDescent="0.3">
      <c r="AK240" s="70" t="s">
        <v>279</v>
      </c>
      <c r="AL240" s="72">
        <v>41063</v>
      </c>
      <c r="AM240"/>
      <c r="AW240" t="s">
        <v>8</v>
      </c>
      <c r="AX240" t="s">
        <v>14</v>
      </c>
      <c r="AY240" s="62">
        <v>38143</v>
      </c>
      <c r="AZ240">
        <v>10554</v>
      </c>
      <c r="BA240">
        <v>1728.52</v>
      </c>
      <c r="BU240" t="s">
        <v>8</v>
      </c>
      <c r="BV240" t="s">
        <v>14</v>
      </c>
      <c r="BW240" s="62">
        <v>38143</v>
      </c>
      <c r="BX240">
        <v>10554</v>
      </c>
      <c r="BY240">
        <v>1728.52</v>
      </c>
    </row>
    <row r="241" spans="37:77" x14ac:dyDescent="0.3">
      <c r="AK241" s="70" t="s">
        <v>286</v>
      </c>
      <c r="AL241" s="72">
        <v>41064</v>
      </c>
      <c r="AM241"/>
      <c r="AW241" t="s">
        <v>8</v>
      </c>
      <c r="AX241" t="s">
        <v>15</v>
      </c>
      <c r="AY241" s="62">
        <v>38013</v>
      </c>
      <c r="AZ241">
        <v>10420</v>
      </c>
      <c r="BA241">
        <v>1707.84</v>
      </c>
      <c r="BU241" t="s">
        <v>8</v>
      </c>
      <c r="BV241" t="s">
        <v>15</v>
      </c>
      <c r="BW241" s="62">
        <v>38013</v>
      </c>
      <c r="BX241">
        <v>10420</v>
      </c>
      <c r="BY241">
        <v>1707.84</v>
      </c>
    </row>
    <row r="242" spans="37:77" x14ac:dyDescent="0.3">
      <c r="AK242" s="70" t="s">
        <v>280</v>
      </c>
      <c r="AL242" s="72">
        <v>41065</v>
      </c>
      <c r="AM242"/>
      <c r="AW242" t="s">
        <v>8</v>
      </c>
      <c r="AX242" t="s">
        <v>289</v>
      </c>
      <c r="AY242" s="62">
        <v>38275</v>
      </c>
      <c r="AZ242">
        <v>10660</v>
      </c>
      <c r="BA242">
        <v>1701</v>
      </c>
      <c r="BU242" t="s">
        <v>8</v>
      </c>
      <c r="BV242" t="s">
        <v>289</v>
      </c>
      <c r="BW242" s="62">
        <v>38275</v>
      </c>
      <c r="BX242">
        <v>10660</v>
      </c>
      <c r="BY242">
        <v>1701</v>
      </c>
    </row>
    <row r="243" spans="37:77" x14ac:dyDescent="0.3">
      <c r="AK243" s="70" t="s">
        <v>281</v>
      </c>
      <c r="AL243" s="72">
        <v>41066</v>
      </c>
      <c r="AM243"/>
      <c r="AW243" t="s">
        <v>7</v>
      </c>
      <c r="AX243" t="s">
        <v>17</v>
      </c>
      <c r="AY243" s="62">
        <v>38364</v>
      </c>
      <c r="AZ243">
        <v>10812</v>
      </c>
      <c r="BA243">
        <v>1692.8</v>
      </c>
      <c r="BU243" t="s">
        <v>7</v>
      </c>
      <c r="BV243" t="s">
        <v>17</v>
      </c>
      <c r="BW243" s="62">
        <v>38364</v>
      </c>
      <c r="BX243">
        <v>10812</v>
      </c>
      <c r="BY243">
        <v>1692.8</v>
      </c>
    </row>
    <row r="244" spans="37:77" x14ac:dyDescent="0.3">
      <c r="AK244" s="70" t="s">
        <v>282</v>
      </c>
      <c r="AL244" s="72">
        <v>41067</v>
      </c>
      <c r="AM244"/>
      <c r="AW244" t="s">
        <v>8</v>
      </c>
      <c r="AX244" t="s">
        <v>289</v>
      </c>
      <c r="AY244" s="62">
        <v>38464</v>
      </c>
      <c r="AZ244">
        <v>11036</v>
      </c>
      <c r="BA244">
        <v>1692</v>
      </c>
      <c r="BU244" t="s">
        <v>8</v>
      </c>
      <c r="BV244" t="s">
        <v>289</v>
      </c>
      <c r="BW244" s="62">
        <v>38464</v>
      </c>
      <c r="BX244">
        <v>11036</v>
      </c>
      <c r="BY244">
        <v>1692</v>
      </c>
    </row>
    <row r="245" spans="37:77" x14ac:dyDescent="0.3">
      <c r="AK245" s="70" t="s">
        <v>283</v>
      </c>
      <c r="AL245" s="72">
        <v>41068</v>
      </c>
      <c r="AM245"/>
      <c r="AW245" t="s">
        <v>8</v>
      </c>
      <c r="AX245" t="s">
        <v>18</v>
      </c>
      <c r="AY245" s="62">
        <v>37957</v>
      </c>
      <c r="AZ245">
        <v>10368</v>
      </c>
      <c r="BA245">
        <v>1689.78</v>
      </c>
      <c r="BU245" t="s">
        <v>8</v>
      </c>
      <c r="BV245" t="s">
        <v>18</v>
      </c>
      <c r="BW245" s="62">
        <v>37957</v>
      </c>
      <c r="BX245">
        <v>10368</v>
      </c>
      <c r="BY245">
        <v>1689.78</v>
      </c>
    </row>
    <row r="246" spans="37:77" x14ac:dyDescent="0.3">
      <c r="AK246" s="70" t="s">
        <v>284</v>
      </c>
      <c r="AL246" s="72">
        <v>41069</v>
      </c>
      <c r="AM246"/>
      <c r="AW246" t="s">
        <v>8</v>
      </c>
      <c r="AX246" t="s">
        <v>15</v>
      </c>
      <c r="AY246" s="62">
        <v>38333</v>
      </c>
      <c r="AZ246">
        <v>10769</v>
      </c>
      <c r="BA246">
        <v>1684.27</v>
      </c>
      <c r="BU246" t="s">
        <v>8</v>
      </c>
      <c r="BV246" t="s">
        <v>15</v>
      </c>
      <c r="BW246" s="62">
        <v>38333</v>
      </c>
      <c r="BX246">
        <v>10769</v>
      </c>
      <c r="BY246">
        <v>1684.27</v>
      </c>
    </row>
    <row r="247" spans="37:77" x14ac:dyDescent="0.3">
      <c r="AK247" s="70" t="s">
        <v>285</v>
      </c>
      <c r="AL247" s="72">
        <v>41070</v>
      </c>
      <c r="AM247"/>
      <c r="AW247" t="s">
        <v>8</v>
      </c>
      <c r="AX247" t="s">
        <v>14</v>
      </c>
      <c r="AY247" s="62">
        <v>38144</v>
      </c>
      <c r="AZ247">
        <v>10551</v>
      </c>
      <c r="BA247">
        <v>1677.3</v>
      </c>
      <c r="BU247" t="s">
        <v>8</v>
      </c>
      <c r="BV247" t="s">
        <v>14</v>
      </c>
      <c r="BW247" s="62">
        <v>38144</v>
      </c>
      <c r="BX247">
        <v>10551</v>
      </c>
      <c r="BY247">
        <v>1677.3</v>
      </c>
    </row>
    <row r="248" spans="37:77" x14ac:dyDescent="0.3">
      <c r="AK248" s="70" t="s">
        <v>279</v>
      </c>
      <c r="AL248" s="72">
        <v>41071</v>
      </c>
      <c r="AM248"/>
      <c r="AW248" t="s">
        <v>7</v>
      </c>
      <c r="AX248" t="s">
        <v>17</v>
      </c>
      <c r="AY248" s="62">
        <v>38431</v>
      </c>
      <c r="AZ248">
        <v>10954</v>
      </c>
      <c r="BA248">
        <v>1659.53</v>
      </c>
      <c r="BU248" t="s">
        <v>7</v>
      </c>
      <c r="BV248" t="s">
        <v>17</v>
      </c>
      <c r="BW248" s="62">
        <v>38431</v>
      </c>
      <c r="BX248">
        <v>10954</v>
      </c>
      <c r="BY248">
        <v>1659.53</v>
      </c>
    </row>
    <row r="249" spans="37:77" x14ac:dyDescent="0.3">
      <c r="AK249" s="70" t="s">
        <v>286</v>
      </c>
      <c r="AL249" s="72">
        <v>41072</v>
      </c>
      <c r="AM249"/>
      <c r="AW249" t="s">
        <v>8</v>
      </c>
      <c r="AX249" t="s">
        <v>14</v>
      </c>
      <c r="AY249" s="62">
        <v>38045</v>
      </c>
      <c r="AZ249">
        <v>10459</v>
      </c>
      <c r="BA249">
        <v>1659.2</v>
      </c>
      <c r="BU249" t="s">
        <v>8</v>
      </c>
      <c r="BV249" t="s">
        <v>14</v>
      </c>
      <c r="BW249" s="62">
        <v>38045</v>
      </c>
      <c r="BX249">
        <v>10459</v>
      </c>
      <c r="BY249">
        <v>1659.2</v>
      </c>
    </row>
    <row r="250" spans="37:77" x14ac:dyDescent="0.3">
      <c r="AK250" s="70" t="s">
        <v>280</v>
      </c>
      <c r="AL250" s="72">
        <v>41073</v>
      </c>
      <c r="AM250"/>
      <c r="AW250" t="s">
        <v>8</v>
      </c>
      <c r="AX250" t="s">
        <v>15</v>
      </c>
      <c r="AY250" s="62">
        <v>37922</v>
      </c>
      <c r="AZ250">
        <v>10330</v>
      </c>
      <c r="BA250">
        <v>1649</v>
      </c>
      <c r="BU250" t="s">
        <v>8</v>
      </c>
      <c r="BV250" t="s">
        <v>15</v>
      </c>
      <c r="BW250" s="62">
        <v>37922</v>
      </c>
      <c r="BX250">
        <v>10330</v>
      </c>
      <c r="BY250">
        <v>1649</v>
      </c>
    </row>
    <row r="251" spans="37:77" x14ac:dyDescent="0.3">
      <c r="AK251" s="70" t="s">
        <v>281</v>
      </c>
      <c r="AL251" s="72">
        <v>41074</v>
      </c>
      <c r="AM251"/>
      <c r="AW251" t="s">
        <v>8</v>
      </c>
      <c r="AX251" t="s">
        <v>15</v>
      </c>
      <c r="AY251" s="62">
        <v>38144</v>
      </c>
      <c r="AZ251">
        <v>10536</v>
      </c>
      <c r="BA251">
        <v>1645</v>
      </c>
      <c r="BU251" t="s">
        <v>8</v>
      </c>
      <c r="BV251" t="s">
        <v>15</v>
      </c>
      <c r="BW251" s="62">
        <v>38144</v>
      </c>
      <c r="BX251">
        <v>10536</v>
      </c>
      <c r="BY251">
        <v>1645</v>
      </c>
    </row>
    <row r="252" spans="37:77" x14ac:dyDescent="0.3">
      <c r="AK252" s="70" t="s">
        <v>282</v>
      </c>
      <c r="AL252" s="72">
        <v>41075</v>
      </c>
      <c r="AM252"/>
      <c r="AW252" t="s">
        <v>8</v>
      </c>
      <c r="AX252" t="s">
        <v>15</v>
      </c>
      <c r="AY252" s="62">
        <v>38325</v>
      </c>
      <c r="AZ252">
        <v>10758</v>
      </c>
      <c r="BA252">
        <v>1644.6</v>
      </c>
      <c r="BU252" t="s">
        <v>8</v>
      </c>
      <c r="BV252" t="s">
        <v>15</v>
      </c>
      <c r="BW252" s="62">
        <v>38325</v>
      </c>
      <c r="BX252">
        <v>10758</v>
      </c>
      <c r="BY252">
        <v>1644.6</v>
      </c>
    </row>
    <row r="253" spans="37:77" x14ac:dyDescent="0.3">
      <c r="AK253" s="70" t="s">
        <v>283</v>
      </c>
      <c r="AL253" s="72">
        <v>41076</v>
      </c>
      <c r="AM253"/>
      <c r="AW253" t="s">
        <v>8</v>
      </c>
      <c r="AX253" t="s">
        <v>14</v>
      </c>
      <c r="AY253" s="62">
        <v>38283</v>
      </c>
      <c r="AZ253">
        <v>10707</v>
      </c>
      <c r="BA253">
        <v>1641</v>
      </c>
      <c r="BU253" t="s">
        <v>8</v>
      </c>
      <c r="BV253" t="s">
        <v>14</v>
      </c>
      <c r="BW253" s="62">
        <v>38283</v>
      </c>
      <c r="BX253">
        <v>10707</v>
      </c>
      <c r="BY253">
        <v>1641</v>
      </c>
    </row>
    <row r="254" spans="37:77" x14ac:dyDescent="0.3">
      <c r="AK254" s="70" t="s">
        <v>284</v>
      </c>
      <c r="AL254" s="72">
        <v>41077</v>
      </c>
      <c r="AM254"/>
      <c r="AW254" t="s">
        <v>8</v>
      </c>
      <c r="AX254" t="s">
        <v>15</v>
      </c>
      <c r="AY254" s="62">
        <v>38276</v>
      </c>
      <c r="AZ254">
        <v>10700</v>
      </c>
      <c r="BA254">
        <v>1638.4</v>
      </c>
      <c r="BU254" t="s">
        <v>8</v>
      </c>
      <c r="BV254" t="s">
        <v>15</v>
      </c>
      <c r="BW254" s="62">
        <v>38276</v>
      </c>
      <c r="BX254">
        <v>10700</v>
      </c>
      <c r="BY254">
        <v>1638.4</v>
      </c>
    </row>
    <row r="255" spans="37:77" x14ac:dyDescent="0.3">
      <c r="AK255" s="70" t="s">
        <v>285</v>
      </c>
      <c r="AL255" s="72">
        <v>41078</v>
      </c>
      <c r="AM255"/>
      <c r="AW255" t="s">
        <v>8</v>
      </c>
      <c r="AX255" t="s">
        <v>15</v>
      </c>
      <c r="AY255" s="62">
        <v>38324</v>
      </c>
      <c r="AZ255">
        <v>10751</v>
      </c>
      <c r="BA255">
        <v>1631.48</v>
      </c>
      <c r="BU255" t="s">
        <v>8</v>
      </c>
      <c r="BV255" t="s">
        <v>15</v>
      </c>
      <c r="BW255" s="62">
        <v>38324</v>
      </c>
      <c r="BX255">
        <v>10751</v>
      </c>
      <c r="BY255">
        <v>1631.48</v>
      </c>
    </row>
    <row r="256" spans="37:77" x14ac:dyDescent="0.3">
      <c r="AK256" s="70" t="s">
        <v>279</v>
      </c>
      <c r="AL256" s="72">
        <v>41079</v>
      </c>
      <c r="AM256"/>
      <c r="AW256" t="s">
        <v>7</v>
      </c>
      <c r="AX256" t="s">
        <v>17</v>
      </c>
      <c r="AY256" s="62">
        <v>38392</v>
      </c>
      <c r="AZ256">
        <v>10869</v>
      </c>
      <c r="BA256">
        <v>1630</v>
      </c>
      <c r="BU256" t="s">
        <v>7</v>
      </c>
      <c r="BV256" t="s">
        <v>17</v>
      </c>
      <c r="BW256" s="62">
        <v>38392</v>
      </c>
      <c r="BX256">
        <v>10869</v>
      </c>
      <c r="BY256">
        <v>1630</v>
      </c>
    </row>
    <row r="257" spans="37:77" x14ac:dyDescent="0.3">
      <c r="AK257" s="70" t="s">
        <v>286</v>
      </c>
      <c r="AL257" s="72">
        <v>41080</v>
      </c>
      <c r="AM257"/>
      <c r="AW257" t="s">
        <v>8</v>
      </c>
      <c r="AX257" t="s">
        <v>18</v>
      </c>
      <c r="AY257" s="62">
        <v>38326</v>
      </c>
      <c r="AZ257">
        <v>10727</v>
      </c>
      <c r="BA257">
        <v>1624.5</v>
      </c>
      <c r="BU257" t="s">
        <v>8</v>
      </c>
      <c r="BV257" t="s">
        <v>18</v>
      </c>
      <c r="BW257" s="62">
        <v>38326</v>
      </c>
      <c r="BX257">
        <v>10727</v>
      </c>
      <c r="BY257">
        <v>1624.5</v>
      </c>
    </row>
    <row r="258" spans="37:77" x14ac:dyDescent="0.3">
      <c r="AK258" s="70" t="s">
        <v>280</v>
      </c>
      <c r="AL258" s="72">
        <v>41081</v>
      </c>
      <c r="AM258"/>
      <c r="AW258" t="s">
        <v>8</v>
      </c>
      <c r="AX258" t="s">
        <v>289</v>
      </c>
      <c r="AY258" s="62">
        <v>38000</v>
      </c>
      <c r="AZ258">
        <v>10408</v>
      </c>
      <c r="BA258">
        <v>1622.4</v>
      </c>
      <c r="BU258" t="s">
        <v>8</v>
      </c>
      <c r="BV258" t="s">
        <v>289</v>
      </c>
      <c r="BW258" s="62">
        <v>38000</v>
      </c>
      <c r="BX258">
        <v>10408</v>
      </c>
      <c r="BY258">
        <v>1622.4</v>
      </c>
    </row>
    <row r="259" spans="37:77" x14ac:dyDescent="0.3">
      <c r="AK259" s="70" t="s">
        <v>281</v>
      </c>
      <c r="AL259" s="72">
        <v>41082</v>
      </c>
      <c r="AM259"/>
      <c r="AW259" t="s">
        <v>8</v>
      </c>
      <c r="AX259" t="s">
        <v>15</v>
      </c>
      <c r="AY259" s="62">
        <v>37933</v>
      </c>
      <c r="AZ259">
        <v>10346</v>
      </c>
      <c r="BA259">
        <v>1618.88</v>
      </c>
      <c r="BU259" t="s">
        <v>8</v>
      </c>
      <c r="BV259" t="s">
        <v>15</v>
      </c>
      <c r="BW259" s="62">
        <v>37933</v>
      </c>
      <c r="BX259">
        <v>10346</v>
      </c>
      <c r="BY259">
        <v>1618.88</v>
      </c>
    </row>
    <row r="260" spans="37:77" x14ac:dyDescent="0.3">
      <c r="AK260" s="70" t="s">
        <v>282</v>
      </c>
      <c r="AL260" s="72">
        <v>41083</v>
      </c>
      <c r="AM260"/>
      <c r="AW260" t="s">
        <v>8</v>
      </c>
      <c r="AX260" t="s">
        <v>287</v>
      </c>
      <c r="AY260" s="62">
        <v>37825</v>
      </c>
      <c r="AZ260">
        <v>10258</v>
      </c>
      <c r="BA260">
        <v>1614.88</v>
      </c>
      <c r="BU260" t="s">
        <v>8</v>
      </c>
      <c r="BV260" t="s">
        <v>287</v>
      </c>
      <c r="BW260" s="62">
        <v>37825</v>
      </c>
      <c r="BX260">
        <v>10258</v>
      </c>
      <c r="BY260">
        <v>1614.88</v>
      </c>
    </row>
    <row r="261" spans="37:77" x14ac:dyDescent="0.3">
      <c r="AK261" s="70" t="s">
        <v>283</v>
      </c>
      <c r="AL261" s="72">
        <v>41084</v>
      </c>
      <c r="AM261"/>
      <c r="AW261" t="s">
        <v>8</v>
      </c>
      <c r="AX261" t="s">
        <v>18</v>
      </c>
      <c r="AY261" s="62">
        <v>37897</v>
      </c>
      <c r="AZ261">
        <v>10312</v>
      </c>
      <c r="BA261">
        <v>1614.8</v>
      </c>
      <c r="BU261" t="s">
        <v>8</v>
      </c>
      <c r="BV261" t="s">
        <v>18</v>
      </c>
      <c r="BW261" s="62">
        <v>37897</v>
      </c>
      <c r="BX261">
        <v>10312</v>
      </c>
      <c r="BY261">
        <v>1614.8</v>
      </c>
    </row>
    <row r="262" spans="37:77" x14ac:dyDescent="0.3">
      <c r="AK262" s="70" t="s">
        <v>284</v>
      </c>
      <c r="AL262" s="72">
        <v>41085</v>
      </c>
      <c r="AM262"/>
      <c r="AW262" t="s">
        <v>8</v>
      </c>
      <c r="AX262" t="s">
        <v>14</v>
      </c>
      <c r="AY262" s="62">
        <v>38060</v>
      </c>
      <c r="AZ262">
        <v>10464</v>
      </c>
      <c r="BA262">
        <v>1609.28</v>
      </c>
      <c r="BU262" t="s">
        <v>8</v>
      </c>
      <c r="BV262" t="s">
        <v>14</v>
      </c>
      <c r="BW262" s="62">
        <v>38060</v>
      </c>
      <c r="BX262">
        <v>10464</v>
      </c>
      <c r="BY262">
        <v>1609.28</v>
      </c>
    </row>
    <row r="263" spans="37:77" x14ac:dyDescent="0.3">
      <c r="AK263" s="70" t="s">
        <v>285</v>
      </c>
      <c r="AL263" s="72">
        <v>41086</v>
      </c>
      <c r="AM263"/>
      <c r="AW263" t="s">
        <v>8</v>
      </c>
      <c r="AX263" t="s">
        <v>14</v>
      </c>
      <c r="AY263" s="62">
        <v>38077</v>
      </c>
      <c r="AZ263">
        <v>10485</v>
      </c>
      <c r="BA263">
        <v>1594</v>
      </c>
      <c r="BU263" t="s">
        <v>8</v>
      </c>
      <c r="BV263" t="s">
        <v>14</v>
      </c>
      <c r="BW263" s="62">
        <v>38077</v>
      </c>
      <c r="BX263">
        <v>10485</v>
      </c>
      <c r="BY263">
        <v>1594</v>
      </c>
    </row>
    <row r="264" spans="37:77" x14ac:dyDescent="0.3">
      <c r="AK264" s="70" t="s">
        <v>279</v>
      </c>
      <c r="AL264" s="72">
        <v>41087</v>
      </c>
      <c r="AM264"/>
      <c r="AW264" t="s">
        <v>8</v>
      </c>
      <c r="AX264" t="s">
        <v>18</v>
      </c>
      <c r="AY264" s="62">
        <v>37994</v>
      </c>
      <c r="AZ264">
        <v>10404</v>
      </c>
      <c r="BA264">
        <v>1591.25</v>
      </c>
      <c r="BU264" t="s">
        <v>8</v>
      </c>
      <c r="BV264" t="s">
        <v>18</v>
      </c>
      <c r="BW264" s="62">
        <v>37994</v>
      </c>
      <c r="BX264">
        <v>10404</v>
      </c>
      <c r="BY264">
        <v>1591.25</v>
      </c>
    </row>
    <row r="265" spans="37:77" x14ac:dyDescent="0.3">
      <c r="AK265" s="70" t="s">
        <v>286</v>
      </c>
      <c r="AL265" s="72">
        <v>41088</v>
      </c>
      <c r="AM265"/>
      <c r="AW265" t="s">
        <v>7</v>
      </c>
      <c r="AX265" t="s">
        <v>16</v>
      </c>
      <c r="AY265" s="62">
        <v>38315</v>
      </c>
      <c r="AZ265">
        <v>10750</v>
      </c>
      <c r="BA265">
        <v>1590.56</v>
      </c>
      <c r="BU265" t="s">
        <v>7</v>
      </c>
      <c r="BV265" t="s">
        <v>16</v>
      </c>
      <c r="BW265" s="62">
        <v>38315</v>
      </c>
      <c r="BX265">
        <v>10750</v>
      </c>
      <c r="BY265">
        <v>1590.56</v>
      </c>
    </row>
    <row r="266" spans="37:77" x14ac:dyDescent="0.3">
      <c r="AK266" s="70" t="s">
        <v>280</v>
      </c>
      <c r="AL266" s="72">
        <v>41089</v>
      </c>
      <c r="AM266"/>
      <c r="AW266" t="s">
        <v>8</v>
      </c>
      <c r="AX266" t="s">
        <v>14</v>
      </c>
      <c r="AY266" s="62">
        <v>37931</v>
      </c>
      <c r="AZ266">
        <v>10343</v>
      </c>
      <c r="BA266">
        <v>1584</v>
      </c>
      <c r="BU266" t="s">
        <v>8</v>
      </c>
      <c r="BV266" t="s">
        <v>14</v>
      </c>
      <c r="BW266" s="62">
        <v>37931</v>
      </c>
      <c r="BX266">
        <v>10343</v>
      </c>
      <c r="BY266">
        <v>1584</v>
      </c>
    </row>
    <row r="267" spans="37:77" x14ac:dyDescent="0.3">
      <c r="AK267" s="70" t="s">
        <v>281</v>
      </c>
      <c r="AL267" s="72">
        <v>41090</v>
      </c>
      <c r="AM267"/>
      <c r="AW267" t="s">
        <v>8</v>
      </c>
      <c r="AX267" t="s">
        <v>18</v>
      </c>
      <c r="AY267" s="62">
        <v>38049</v>
      </c>
      <c r="AZ267">
        <v>10457</v>
      </c>
      <c r="BA267">
        <v>1584</v>
      </c>
      <c r="BU267" t="s">
        <v>8</v>
      </c>
      <c r="BV267" t="s">
        <v>18</v>
      </c>
      <c r="BW267" s="62">
        <v>38049</v>
      </c>
      <c r="BX267">
        <v>10457</v>
      </c>
      <c r="BY267">
        <v>1584</v>
      </c>
    </row>
    <row r="268" spans="37:77" x14ac:dyDescent="0.3">
      <c r="AK268" s="70" t="s">
        <v>282</v>
      </c>
      <c r="AL268" s="72">
        <v>41091</v>
      </c>
      <c r="AM268"/>
      <c r="AW268" t="s">
        <v>8</v>
      </c>
      <c r="AX268" t="s">
        <v>14</v>
      </c>
      <c r="AY268" s="62">
        <v>38458</v>
      </c>
      <c r="AZ268">
        <v>11018</v>
      </c>
      <c r="BA268">
        <v>1575</v>
      </c>
      <c r="BU268" t="s">
        <v>8</v>
      </c>
      <c r="BV268" t="s">
        <v>14</v>
      </c>
      <c r="BW268" s="62">
        <v>38458</v>
      </c>
      <c r="BX268">
        <v>11018</v>
      </c>
      <c r="BY268">
        <v>1575</v>
      </c>
    </row>
    <row r="269" spans="37:77" x14ac:dyDescent="0.3">
      <c r="AK269" s="70" t="s">
        <v>283</v>
      </c>
      <c r="AL269" s="72">
        <v>41092</v>
      </c>
      <c r="AM269"/>
      <c r="AW269" t="s">
        <v>8</v>
      </c>
      <c r="AX269" t="s">
        <v>289</v>
      </c>
      <c r="AY269" s="62">
        <v>38295</v>
      </c>
      <c r="AZ269">
        <v>10722</v>
      </c>
      <c r="BA269">
        <v>1570</v>
      </c>
      <c r="BU269" t="s">
        <v>8</v>
      </c>
      <c r="BV269" t="s">
        <v>289</v>
      </c>
      <c r="BW269" s="62">
        <v>38295</v>
      </c>
      <c r="BX269">
        <v>10722</v>
      </c>
      <c r="BY269">
        <v>1570</v>
      </c>
    </row>
    <row r="270" spans="37:77" x14ac:dyDescent="0.3">
      <c r="AK270" s="70" t="s">
        <v>284</v>
      </c>
      <c r="AL270" s="72">
        <v>41093</v>
      </c>
      <c r="AM270"/>
      <c r="AW270" t="s">
        <v>7</v>
      </c>
      <c r="AX270" t="s">
        <v>16</v>
      </c>
      <c r="AY270" s="62">
        <v>38357</v>
      </c>
      <c r="AZ270">
        <v>10799</v>
      </c>
      <c r="BA270">
        <v>1553.5</v>
      </c>
      <c r="BU270" t="s">
        <v>7</v>
      </c>
      <c r="BV270" t="s">
        <v>16</v>
      </c>
      <c r="BW270" s="62">
        <v>38357</v>
      </c>
      <c r="BX270">
        <v>10799</v>
      </c>
      <c r="BY270">
        <v>1553.5</v>
      </c>
    </row>
    <row r="271" spans="37:77" x14ac:dyDescent="0.3">
      <c r="AK271" s="70" t="s">
        <v>285</v>
      </c>
      <c r="AL271" s="72">
        <v>41094</v>
      </c>
      <c r="AM271"/>
      <c r="AW271" t="s">
        <v>8</v>
      </c>
      <c r="AX271" t="s">
        <v>14</v>
      </c>
      <c r="AY271" s="62">
        <v>37814</v>
      </c>
      <c r="AZ271">
        <v>10250</v>
      </c>
      <c r="BA271">
        <v>1552.6</v>
      </c>
      <c r="BU271" t="s">
        <v>8</v>
      </c>
      <c r="BV271" t="s">
        <v>14</v>
      </c>
      <c r="BW271" s="62">
        <v>37814</v>
      </c>
      <c r="BX271">
        <v>10250</v>
      </c>
      <c r="BY271">
        <v>1552.6</v>
      </c>
    </row>
    <row r="272" spans="37:77" x14ac:dyDescent="0.3">
      <c r="AK272" s="70" t="s">
        <v>279</v>
      </c>
      <c r="AL272" s="72">
        <v>41095</v>
      </c>
      <c r="AM272"/>
      <c r="AW272" t="s">
        <v>8</v>
      </c>
      <c r="AX272" t="s">
        <v>15</v>
      </c>
      <c r="AY272" s="62">
        <v>37953</v>
      </c>
      <c r="AZ272">
        <v>10362</v>
      </c>
      <c r="BA272">
        <v>1549.6</v>
      </c>
      <c r="BU272" t="s">
        <v>8</v>
      </c>
      <c r="BV272" t="s">
        <v>15</v>
      </c>
      <c r="BW272" s="62">
        <v>37953</v>
      </c>
      <c r="BX272">
        <v>10362</v>
      </c>
      <c r="BY272">
        <v>1549.6</v>
      </c>
    </row>
    <row r="273" spans="37:77" x14ac:dyDescent="0.3">
      <c r="AK273" s="70" t="s">
        <v>286</v>
      </c>
      <c r="AL273" s="72">
        <v>41096</v>
      </c>
      <c r="AM273"/>
      <c r="AW273" t="s">
        <v>8</v>
      </c>
      <c r="AX273" t="s">
        <v>18</v>
      </c>
      <c r="AY273" s="62">
        <v>38141</v>
      </c>
      <c r="AZ273">
        <v>10553</v>
      </c>
      <c r="BA273">
        <v>1546.3</v>
      </c>
      <c r="BU273" t="s">
        <v>8</v>
      </c>
      <c r="BV273" t="s">
        <v>18</v>
      </c>
      <c r="BW273" s="62">
        <v>38141</v>
      </c>
      <c r="BX273">
        <v>10553</v>
      </c>
      <c r="BY273">
        <v>1546.3</v>
      </c>
    </row>
    <row r="274" spans="37:77" x14ac:dyDescent="0.3">
      <c r="AK274" s="70" t="s">
        <v>280</v>
      </c>
      <c r="AL274" s="72">
        <v>41097</v>
      </c>
      <c r="AM274"/>
      <c r="AW274" t="s">
        <v>8</v>
      </c>
      <c r="AX274" t="s">
        <v>14</v>
      </c>
      <c r="AY274" s="62">
        <v>38395</v>
      </c>
      <c r="AZ274">
        <v>10878</v>
      </c>
      <c r="BA274">
        <v>1539</v>
      </c>
      <c r="BU274" t="s">
        <v>8</v>
      </c>
      <c r="BV274" t="s">
        <v>14</v>
      </c>
      <c r="BW274" s="62">
        <v>38395</v>
      </c>
      <c r="BX274">
        <v>10878</v>
      </c>
      <c r="BY274">
        <v>1539</v>
      </c>
    </row>
    <row r="275" spans="37:77" x14ac:dyDescent="0.3">
      <c r="AK275" s="70" t="s">
        <v>281</v>
      </c>
      <c r="AL275" s="72">
        <v>41098</v>
      </c>
      <c r="AM275"/>
      <c r="AW275" t="s">
        <v>8</v>
      </c>
      <c r="AX275" t="s">
        <v>287</v>
      </c>
      <c r="AY275" s="62">
        <v>38051</v>
      </c>
      <c r="AZ275">
        <v>10461</v>
      </c>
      <c r="BA275">
        <v>1538.7</v>
      </c>
      <c r="BU275" t="s">
        <v>8</v>
      </c>
      <c r="BV275" t="s">
        <v>287</v>
      </c>
      <c r="BW275" s="62">
        <v>38051</v>
      </c>
      <c r="BX275">
        <v>10461</v>
      </c>
      <c r="BY275">
        <v>1538.7</v>
      </c>
    </row>
    <row r="276" spans="37:77" x14ac:dyDescent="0.3">
      <c r="AK276" s="70" t="s">
        <v>282</v>
      </c>
      <c r="AL276" s="72">
        <v>41099</v>
      </c>
      <c r="AM276"/>
      <c r="AW276" t="s">
        <v>7</v>
      </c>
      <c r="AX276" t="s">
        <v>288</v>
      </c>
      <c r="AY276" s="62">
        <v>38249</v>
      </c>
      <c r="AZ276">
        <v>10667</v>
      </c>
      <c r="BA276">
        <v>1536.8</v>
      </c>
      <c r="BU276" t="s">
        <v>7</v>
      </c>
      <c r="BV276" t="s">
        <v>288</v>
      </c>
      <c r="BW276" s="62">
        <v>38249</v>
      </c>
      <c r="BX276">
        <v>10667</v>
      </c>
      <c r="BY276">
        <v>1536.8</v>
      </c>
    </row>
    <row r="277" spans="37:77" x14ac:dyDescent="0.3">
      <c r="AK277" s="70" t="s">
        <v>283</v>
      </c>
      <c r="AL277" s="72">
        <v>41100</v>
      </c>
      <c r="AM277"/>
      <c r="AW277" t="s">
        <v>8</v>
      </c>
      <c r="AX277" t="s">
        <v>14</v>
      </c>
      <c r="AY277" s="62">
        <v>38232</v>
      </c>
      <c r="AZ277">
        <v>10645</v>
      </c>
      <c r="BA277">
        <v>1535</v>
      </c>
      <c r="BU277" t="s">
        <v>8</v>
      </c>
      <c r="BV277" t="s">
        <v>14</v>
      </c>
      <c r="BW277" s="62">
        <v>38232</v>
      </c>
      <c r="BX277">
        <v>10645</v>
      </c>
      <c r="BY277">
        <v>1535</v>
      </c>
    </row>
    <row r="278" spans="37:77" x14ac:dyDescent="0.3">
      <c r="AK278" s="70" t="s">
        <v>284</v>
      </c>
      <c r="AL278" s="72">
        <v>41101</v>
      </c>
      <c r="AM278"/>
      <c r="AW278" t="s">
        <v>8</v>
      </c>
      <c r="AX278" t="s">
        <v>289</v>
      </c>
      <c r="AY278" s="62">
        <v>38344</v>
      </c>
      <c r="AZ278">
        <v>10786</v>
      </c>
      <c r="BA278">
        <v>1531.08</v>
      </c>
      <c r="BU278" t="s">
        <v>8</v>
      </c>
      <c r="BV278" t="s">
        <v>289</v>
      </c>
      <c r="BW278" s="62">
        <v>38344</v>
      </c>
      <c r="BX278">
        <v>10786</v>
      </c>
      <c r="BY278">
        <v>1531.08</v>
      </c>
    </row>
    <row r="279" spans="37:77" x14ac:dyDescent="0.3">
      <c r="AK279" s="70" t="s">
        <v>285</v>
      </c>
      <c r="AL279" s="72">
        <v>41102</v>
      </c>
      <c r="AM279"/>
      <c r="AW279" t="s">
        <v>8</v>
      </c>
      <c r="AX279" t="s">
        <v>15</v>
      </c>
      <c r="AY279" s="62">
        <v>38330</v>
      </c>
      <c r="AZ279">
        <v>10765</v>
      </c>
      <c r="BA279">
        <v>1515.6</v>
      </c>
      <c r="BU279" t="s">
        <v>8</v>
      </c>
      <c r="BV279" t="s">
        <v>15</v>
      </c>
      <c r="BW279" s="62">
        <v>38330</v>
      </c>
      <c r="BX279">
        <v>10765</v>
      </c>
      <c r="BY279">
        <v>1515.6</v>
      </c>
    </row>
    <row r="280" spans="37:77" x14ac:dyDescent="0.3">
      <c r="AK280" s="70" t="s">
        <v>279</v>
      </c>
      <c r="AL280" s="72">
        <v>41103</v>
      </c>
      <c r="AM280"/>
      <c r="AW280" t="s">
        <v>8</v>
      </c>
      <c r="AX280" t="s">
        <v>289</v>
      </c>
      <c r="AY280" s="62">
        <v>38079</v>
      </c>
      <c r="AZ280">
        <v>10488</v>
      </c>
      <c r="BA280">
        <v>1512</v>
      </c>
      <c r="BU280" t="s">
        <v>8</v>
      </c>
      <c r="BV280" t="s">
        <v>289</v>
      </c>
      <c r="BW280" s="62">
        <v>38079</v>
      </c>
      <c r="BX280">
        <v>10488</v>
      </c>
      <c r="BY280">
        <v>1512</v>
      </c>
    </row>
    <row r="281" spans="37:77" x14ac:dyDescent="0.3">
      <c r="AK281" s="70" t="s">
        <v>286</v>
      </c>
      <c r="AL281" s="72">
        <v>41104</v>
      </c>
      <c r="AM281"/>
      <c r="AW281" t="s">
        <v>7</v>
      </c>
      <c r="AX281" t="s">
        <v>16</v>
      </c>
      <c r="AY281" s="62">
        <v>38081</v>
      </c>
      <c r="AZ281">
        <v>10475</v>
      </c>
      <c r="BA281">
        <v>1505.18</v>
      </c>
      <c r="BU281" t="s">
        <v>7</v>
      </c>
      <c r="BV281" t="s">
        <v>16</v>
      </c>
      <c r="BW281" s="62">
        <v>38081</v>
      </c>
      <c r="BX281">
        <v>10475</v>
      </c>
      <c r="BY281">
        <v>1505.18</v>
      </c>
    </row>
    <row r="282" spans="37:77" x14ac:dyDescent="0.3">
      <c r="AK282" s="70" t="s">
        <v>280</v>
      </c>
      <c r="AL282" s="72">
        <v>41105</v>
      </c>
      <c r="AM282"/>
      <c r="AW282" t="s">
        <v>8</v>
      </c>
      <c r="AX282" t="s">
        <v>14</v>
      </c>
      <c r="AY282" s="62">
        <v>37831</v>
      </c>
      <c r="AZ282">
        <v>10260</v>
      </c>
      <c r="BA282">
        <v>1504.65</v>
      </c>
      <c r="BU282" t="s">
        <v>8</v>
      </c>
      <c r="BV282" t="s">
        <v>14</v>
      </c>
      <c r="BW282" s="62">
        <v>37831</v>
      </c>
      <c r="BX282">
        <v>10260</v>
      </c>
      <c r="BY282">
        <v>1504.65</v>
      </c>
    </row>
    <row r="283" spans="37:77" x14ac:dyDescent="0.3">
      <c r="AK283" s="70" t="s">
        <v>281</v>
      </c>
      <c r="AL283" s="72">
        <v>41106</v>
      </c>
      <c r="AM283"/>
      <c r="AW283" t="s">
        <v>8</v>
      </c>
      <c r="AX283" t="s">
        <v>289</v>
      </c>
      <c r="AY283" s="62">
        <v>38130</v>
      </c>
      <c r="AZ283">
        <v>10543</v>
      </c>
      <c r="BA283">
        <v>1504.5</v>
      </c>
      <c r="BU283" t="s">
        <v>8</v>
      </c>
      <c r="BV283" t="s">
        <v>289</v>
      </c>
      <c r="BW283" s="62">
        <v>38130</v>
      </c>
      <c r="BX283">
        <v>10543</v>
      </c>
      <c r="BY283">
        <v>1504.5</v>
      </c>
    </row>
    <row r="284" spans="37:77" x14ac:dyDescent="0.3">
      <c r="AK284" s="70" t="s">
        <v>282</v>
      </c>
      <c r="AL284" s="72">
        <v>41107</v>
      </c>
      <c r="AM284"/>
      <c r="AW284" t="s">
        <v>8</v>
      </c>
      <c r="AX284" t="s">
        <v>287</v>
      </c>
      <c r="AY284" s="62">
        <v>38219</v>
      </c>
      <c r="AZ284">
        <v>10626</v>
      </c>
      <c r="BA284">
        <v>1503.6</v>
      </c>
      <c r="BU284" t="s">
        <v>8</v>
      </c>
      <c r="BV284" t="s">
        <v>287</v>
      </c>
      <c r="BW284" s="62">
        <v>38219</v>
      </c>
      <c r="BX284">
        <v>10626</v>
      </c>
      <c r="BY284">
        <v>1503.6</v>
      </c>
    </row>
    <row r="285" spans="37:77" x14ac:dyDescent="0.3">
      <c r="AK285" s="70" t="s">
        <v>283</v>
      </c>
      <c r="AL285" s="72">
        <v>41108</v>
      </c>
      <c r="AM285"/>
      <c r="AW285" t="s">
        <v>7</v>
      </c>
      <c r="AX285" t="s">
        <v>288</v>
      </c>
      <c r="AY285" s="62">
        <v>38114</v>
      </c>
      <c r="AZ285">
        <v>10527</v>
      </c>
      <c r="BA285">
        <v>1503</v>
      </c>
      <c r="BU285" t="s">
        <v>7</v>
      </c>
      <c r="BV285" t="s">
        <v>288</v>
      </c>
      <c r="BW285" s="62">
        <v>38114</v>
      </c>
      <c r="BX285">
        <v>10527</v>
      </c>
      <c r="BY285">
        <v>1503</v>
      </c>
    </row>
    <row r="286" spans="37:77" x14ac:dyDescent="0.3">
      <c r="AK286" s="70" t="s">
        <v>284</v>
      </c>
      <c r="AL286" s="72">
        <v>41109</v>
      </c>
      <c r="AM286"/>
      <c r="AW286" t="s">
        <v>8</v>
      </c>
      <c r="AX286" t="s">
        <v>15</v>
      </c>
      <c r="AY286" s="62">
        <v>38163</v>
      </c>
      <c r="AZ286">
        <v>10572</v>
      </c>
      <c r="BA286">
        <v>1501.08</v>
      </c>
      <c r="BU286" t="s">
        <v>8</v>
      </c>
      <c r="BV286" t="s">
        <v>15</v>
      </c>
      <c r="BW286" s="62">
        <v>38163</v>
      </c>
      <c r="BX286">
        <v>10572</v>
      </c>
      <c r="BY286">
        <v>1501.08</v>
      </c>
    </row>
    <row r="287" spans="37:77" x14ac:dyDescent="0.3">
      <c r="AK287" s="70" t="s">
        <v>285</v>
      </c>
      <c r="AL287" s="72">
        <v>41110</v>
      </c>
      <c r="AM287"/>
      <c r="AW287" t="s">
        <v>8</v>
      </c>
      <c r="AX287" t="s">
        <v>287</v>
      </c>
      <c r="AY287" s="62">
        <v>38466</v>
      </c>
      <c r="AZ287">
        <v>11023</v>
      </c>
      <c r="BA287">
        <v>1500</v>
      </c>
      <c r="BU287" t="s">
        <v>8</v>
      </c>
      <c r="BV287" t="s">
        <v>287</v>
      </c>
      <c r="BW287" s="62">
        <v>38466</v>
      </c>
      <c r="BX287">
        <v>11023</v>
      </c>
      <c r="BY287">
        <v>1500</v>
      </c>
    </row>
    <row r="288" spans="37:77" x14ac:dyDescent="0.3">
      <c r="AK288" s="70" t="s">
        <v>279</v>
      </c>
      <c r="AL288" s="72">
        <v>41111</v>
      </c>
      <c r="AM288"/>
      <c r="AW288" t="s">
        <v>7</v>
      </c>
      <c r="AX288" t="s">
        <v>288</v>
      </c>
      <c r="AY288" s="62">
        <v>38401</v>
      </c>
      <c r="AZ288">
        <v>10880</v>
      </c>
      <c r="BA288">
        <v>1500</v>
      </c>
      <c r="BU288" t="s">
        <v>7</v>
      </c>
      <c r="BV288" t="s">
        <v>288</v>
      </c>
      <c r="BW288" s="62">
        <v>38401</v>
      </c>
      <c r="BX288">
        <v>10880</v>
      </c>
      <c r="BY288">
        <v>1500</v>
      </c>
    </row>
    <row r="289" spans="37:77" x14ac:dyDescent="0.3">
      <c r="AK289" s="70" t="s">
        <v>286</v>
      </c>
      <c r="AL289" s="72">
        <v>41112</v>
      </c>
      <c r="AM289"/>
      <c r="AW289" t="s">
        <v>8</v>
      </c>
      <c r="AX289" t="s">
        <v>18</v>
      </c>
      <c r="AY289" s="62">
        <v>38303</v>
      </c>
      <c r="AZ289">
        <v>10734</v>
      </c>
      <c r="BA289">
        <v>1498.35</v>
      </c>
      <c r="BU289" t="s">
        <v>8</v>
      </c>
      <c r="BV289" t="s">
        <v>18</v>
      </c>
      <c r="BW289" s="62">
        <v>38303</v>
      </c>
      <c r="BX289">
        <v>10734</v>
      </c>
      <c r="BY289">
        <v>1498.35</v>
      </c>
    </row>
    <row r="290" spans="37:77" x14ac:dyDescent="0.3">
      <c r="AK290" s="70" t="s">
        <v>280</v>
      </c>
      <c r="AL290" s="72">
        <v>41113</v>
      </c>
      <c r="AM290"/>
      <c r="AW290" t="s">
        <v>8</v>
      </c>
      <c r="AX290" t="s">
        <v>287</v>
      </c>
      <c r="AY290" s="62">
        <v>37908</v>
      </c>
      <c r="AZ290">
        <v>10325</v>
      </c>
      <c r="BA290">
        <v>1497</v>
      </c>
      <c r="BU290" t="s">
        <v>8</v>
      </c>
      <c r="BV290" t="s">
        <v>287</v>
      </c>
      <c r="BW290" s="62">
        <v>37908</v>
      </c>
      <c r="BX290">
        <v>10325</v>
      </c>
      <c r="BY290">
        <v>1497</v>
      </c>
    </row>
    <row r="291" spans="37:77" x14ac:dyDescent="0.3">
      <c r="AK291" s="70" t="s">
        <v>281</v>
      </c>
      <c r="AL291" s="72">
        <v>41114</v>
      </c>
      <c r="AM291"/>
      <c r="AW291" t="s">
        <v>8</v>
      </c>
      <c r="AX291" t="s">
        <v>289</v>
      </c>
      <c r="AY291" s="62">
        <v>37849</v>
      </c>
      <c r="AZ291">
        <v>10278</v>
      </c>
      <c r="BA291">
        <v>1488.8</v>
      </c>
      <c r="BU291" t="s">
        <v>8</v>
      </c>
      <c r="BV291" t="s">
        <v>289</v>
      </c>
      <c r="BW291" s="62">
        <v>37849</v>
      </c>
      <c r="BX291">
        <v>10278</v>
      </c>
      <c r="BY291">
        <v>1488.8</v>
      </c>
    </row>
    <row r="292" spans="37:77" x14ac:dyDescent="0.3">
      <c r="AK292" s="70" t="s">
        <v>282</v>
      </c>
      <c r="AL292" s="72">
        <v>41115</v>
      </c>
      <c r="AM292"/>
      <c r="AW292" t="s">
        <v>8</v>
      </c>
      <c r="AX292" t="s">
        <v>14</v>
      </c>
      <c r="AY292" s="62">
        <v>38343</v>
      </c>
      <c r="AZ292">
        <v>10784</v>
      </c>
      <c r="BA292">
        <v>1488</v>
      </c>
      <c r="BU292" t="s">
        <v>8</v>
      </c>
      <c r="BV292" t="s">
        <v>14</v>
      </c>
      <c r="BW292" s="62">
        <v>38343</v>
      </c>
      <c r="BX292">
        <v>10784</v>
      </c>
      <c r="BY292">
        <v>1488</v>
      </c>
    </row>
    <row r="293" spans="37:77" x14ac:dyDescent="0.3">
      <c r="AK293" s="70" t="s">
        <v>283</v>
      </c>
      <c r="AL293" s="72">
        <v>41116</v>
      </c>
      <c r="AM293"/>
      <c r="AW293" t="s">
        <v>8</v>
      </c>
      <c r="AX293" t="s">
        <v>289</v>
      </c>
      <c r="AY293" s="62">
        <v>38466</v>
      </c>
      <c r="AZ293">
        <v>11046</v>
      </c>
      <c r="BA293">
        <v>1485.8</v>
      </c>
      <c r="BU293" t="s">
        <v>8</v>
      </c>
      <c r="BV293" t="s">
        <v>289</v>
      </c>
      <c r="BW293" s="62">
        <v>38466</v>
      </c>
      <c r="BX293">
        <v>11046</v>
      </c>
      <c r="BY293">
        <v>1485.8</v>
      </c>
    </row>
    <row r="294" spans="37:77" x14ac:dyDescent="0.3">
      <c r="AK294" s="70" t="s">
        <v>284</v>
      </c>
      <c r="AL294" s="72">
        <v>41117</v>
      </c>
      <c r="AM294"/>
      <c r="AW294" t="s">
        <v>8</v>
      </c>
      <c r="AX294" t="s">
        <v>289</v>
      </c>
      <c r="AY294" s="62">
        <v>38207</v>
      </c>
      <c r="AZ294">
        <v>10603</v>
      </c>
      <c r="BA294">
        <v>1483</v>
      </c>
      <c r="BU294" t="s">
        <v>8</v>
      </c>
      <c r="BV294" t="s">
        <v>289</v>
      </c>
      <c r="BW294" s="62">
        <v>38207</v>
      </c>
      <c r="BX294">
        <v>10603</v>
      </c>
      <c r="BY294">
        <v>1483</v>
      </c>
    </row>
    <row r="295" spans="37:77" x14ac:dyDescent="0.3">
      <c r="AK295" s="70" t="s">
        <v>285</v>
      </c>
      <c r="AL295" s="72">
        <v>41118</v>
      </c>
      <c r="AM295"/>
      <c r="AW295" t="s">
        <v>8</v>
      </c>
      <c r="AX295" t="s">
        <v>15</v>
      </c>
      <c r="AY295" s="62">
        <v>38336</v>
      </c>
      <c r="AZ295">
        <v>10768</v>
      </c>
      <c r="BA295">
        <v>1477</v>
      </c>
      <c r="BU295" t="s">
        <v>8</v>
      </c>
      <c r="BV295" t="s">
        <v>15</v>
      </c>
      <c r="BW295" s="62">
        <v>38336</v>
      </c>
      <c r="BX295">
        <v>10768</v>
      </c>
      <c r="BY295">
        <v>1477</v>
      </c>
    </row>
    <row r="296" spans="37:77" x14ac:dyDescent="0.3">
      <c r="AK296" s="70" t="s">
        <v>279</v>
      </c>
      <c r="AL296" s="72">
        <v>41119</v>
      </c>
      <c r="AM296"/>
      <c r="AW296" t="s">
        <v>8</v>
      </c>
      <c r="AX296" t="s">
        <v>289</v>
      </c>
      <c r="AY296" s="62">
        <v>38071</v>
      </c>
      <c r="AZ296">
        <v>10481</v>
      </c>
      <c r="BA296">
        <v>1472</v>
      </c>
      <c r="BU296" t="s">
        <v>8</v>
      </c>
      <c r="BV296" t="s">
        <v>289</v>
      </c>
      <c r="BW296" s="62">
        <v>38071</v>
      </c>
      <c r="BX296">
        <v>10481</v>
      </c>
      <c r="BY296">
        <v>1472</v>
      </c>
    </row>
    <row r="297" spans="37:77" x14ac:dyDescent="0.3">
      <c r="AK297" s="70" t="s">
        <v>286</v>
      </c>
      <c r="AL297" s="72">
        <v>41120</v>
      </c>
      <c r="AM297"/>
      <c r="AW297" t="s">
        <v>8</v>
      </c>
      <c r="AX297" t="s">
        <v>287</v>
      </c>
      <c r="AY297" s="62">
        <v>38357</v>
      </c>
      <c r="AZ297">
        <v>10800</v>
      </c>
      <c r="BA297">
        <v>1468.93</v>
      </c>
      <c r="BU297" t="s">
        <v>8</v>
      </c>
      <c r="BV297" t="s">
        <v>287</v>
      </c>
      <c r="BW297" s="62">
        <v>38357</v>
      </c>
      <c r="BX297">
        <v>10800</v>
      </c>
      <c r="BY297">
        <v>1468.93</v>
      </c>
    </row>
    <row r="298" spans="37:77" x14ac:dyDescent="0.3">
      <c r="AK298" s="70" t="s">
        <v>280</v>
      </c>
      <c r="AL298" s="72">
        <v>41121</v>
      </c>
      <c r="AM298"/>
      <c r="AW298" t="s">
        <v>8</v>
      </c>
      <c r="AX298" t="s">
        <v>287</v>
      </c>
      <c r="AY298" s="62">
        <v>38301</v>
      </c>
      <c r="AZ298">
        <v>10733</v>
      </c>
      <c r="BA298">
        <v>1459</v>
      </c>
      <c r="BU298" t="s">
        <v>8</v>
      </c>
      <c r="BV298" t="s">
        <v>287</v>
      </c>
      <c r="BW298" s="62">
        <v>38301</v>
      </c>
      <c r="BX298">
        <v>10733</v>
      </c>
      <c r="BY298">
        <v>1459</v>
      </c>
    </row>
    <row r="299" spans="37:77" x14ac:dyDescent="0.3">
      <c r="AK299" s="70" t="s">
        <v>281</v>
      </c>
      <c r="AL299" s="72">
        <v>41122</v>
      </c>
      <c r="AM299"/>
      <c r="AW299" t="s">
        <v>7</v>
      </c>
      <c r="AX299" t="s">
        <v>13</v>
      </c>
      <c r="AY299" s="62">
        <v>37839</v>
      </c>
      <c r="AZ299">
        <v>10272</v>
      </c>
      <c r="BA299">
        <v>1456</v>
      </c>
      <c r="BU299" t="s">
        <v>7</v>
      </c>
      <c r="BV299" t="s">
        <v>13</v>
      </c>
      <c r="BW299" s="62">
        <v>37839</v>
      </c>
      <c r="BX299">
        <v>10272</v>
      </c>
      <c r="BY299">
        <v>1456</v>
      </c>
    </row>
    <row r="300" spans="37:77" x14ac:dyDescent="0.3">
      <c r="AK300" s="70" t="s">
        <v>282</v>
      </c>
      <c r="AL300" s="72">
        <v>41123</v>
      </c>
      <c r="AM300"/>
      <c r="AW300" t="s">
        <v>8</v>
      </c>
      <c r="AX300" t="s">
        <v>15</v>
      </c>
      <c r="AY300" s="62">
        <v>38422</v>
      </c>
      <c r="AZ300">
        <v>10918</v>
      </c>
      <c r="BA300">
        <v>1447.5</v>
      </c>
      <c r="BU300" t="s">
        <v>8</v>
      </c>
      <c r="BV300" t="s">
        <v>15</v>
      </c>
      <c r="BW300" s="62">
        <v>38422</v>
      </c>
      <c r="BX300">
        <v>10918</v>
      </c>
      <c r="BY300">
        <v>1447.5</v>
      </c>
    </row>
    <row r="301" spans="37:77" x14ac:dyDescent="0.3">
      <c r="AK301" s="70" t="s">
        <v>283</v>
      </c>
      <c r="AL301" s="72">
        <v>41124</v>
      </c>
      <c r="AM301"/>
      <c r="AW301" t="s">
        <v>7</v>
      </c>
      <c r="AX301" t="s">
        <v>16</v>
      </c>
      <c r="AY301" s="62">
        <v>38233</v>
      </c>
      <c r="AZ301">
        <v>10646</v>
      </c>
      <c r="BA301">
        <v>1446</v>
      </c>
      <c r="BU301" t="s">
        <v>7</v>
      </c>
      <c r="BV301" t="s">
        <v>16</v>
      </c>
      <c r="BW301" s="62">
        <v>38233</v>
      </c>
      <c r="BX301">
        <v>10646</v>
      </c>
      <c r="BY301">
        <v>1446</v>
      </c>
    </row>
    <row r="302" spans="37:77" x14ac:dyDescent="0.3">
      <c r="AK302" s="70" t="s">
        <v>284</v>
      </c>
      <c r="AL302" s="72">
        <v>41125</v>
      </c>
      <c r="AM302"/>
      <c r="AW302" t="s">
        <v>8</v>
      </c>
      <c r="AX302" t="s">
        <v>15</v>
      </c>
      <c r="AY302" s="62">
        <v>37818</v>
      </c>
      <c r="AZ302">
        <v>10253</v>
      </c>
      <c r="BA302">
        <v>1444.8</v>
      </c>
      <c r="BU302" t="s">
        <v>8</v>
      </c>
      <c r="BV302" t="s">
        <v>15</v>
      </c>
      <c r="BW302" s="62">
        <v>37818</v>
      </c>
      <c r="BX302">
        <v>10253</v>
      </c>
      <c r="BY302">
        <v>1444.8</v>
      </c>
    </row>
    <row r="303" spans="37:77" x14ac:dyDescent="0.3">
      <c r="AK303" s="70" t="s">
        <v>285</v>
      </c>
      <c r="AL303" s="72">
        <v>41126</v>
      </c>
      <c r="AM303"/>
      <c r="AW303" t="s">
        <v>8</v>
      </c>
      <c r="AX303" t="s">
        <v>14</v>
      </c>
      <c r="AY303" s="62">
        <v>38340</v>
      </c>
      <c r="AZ303">
        <v>10783</v>
      </c>
      <c r="BA303">
        <v>1442.5</v>
      </c>
      <c r="BU303" t="s">
        <v>8</v>
      </c>
      <c r="BV303" t="s">
        <v>14</v>
      </c>
      <c r="BW303" s="62">
        <v>38340</v>
      </c>
      <c r="BX303">
        <v>10783</v>
      </c>
      <c r="BY303">
        <v>1442.5</v>
      </c>
    </row>
    <row r="304" spans="37:77" x14ac:dyDescent="0.3">
      <c r="AK304" s="70" t="s">
        <v>279</v>
      </c>
      <c r="AL304" s="72">
        <v>41127</v>
      </c>
      <c r="AM304"/>
      <c r="AW304" t="s">
        <v>8</v>
      </c>
      <c r="AX304" t="s">
        <v>15</v>
      </c>
      <c r="AY304" s="62">
        <v>38024</v>
      </c>
      <c r="AZ304">
        <v>10429</v>
      </c>
      <c r="BA304">
        <v>1441.37</v>
      </c>
      <c r="BU304" t="s">
        <v>8</v>
      </c>
      <c r="BV304" t="s">
        <v>15</v>
      </c>
      <c r="BW304" s="62">
        <v>38024</v>
      </c>
      <c r="BX304">
        <v>10429</v>
      </c>
      <c r="BY304">
        <v>1441.37</v>
      </c>
    </row>
    <row r="305" spans="37:77" x14ac:dyDescent="0.3">
      <c r="AK305" s="70" t="s">
        <v>286</v>
      </c>
      <c r="AL305" s="72">
        <v>41128</v>
      </c>
      <c r="AM305"/>
      <c r="AW305" t="s">
        <v>8</v>
      </c>
      <c r="AX305" t="s">
        <v>18</v>
      </c>
      <c r="AY305" s="62">
        <v>37987</v>
      </c>
      <c r="AZ305">
        <v>10392</v>
      </c>
      <c r="BA305">
        <v>1440</v>
      </c>
      <c r="BU305" t="s">
        <v>8</v>
      </c>
      <c r="BV305" t="s">
        <v>18</v>
      </c>
      <c r="BW305" s="62">
        <v>37987</v>
      </c>
      <c r="BX305">
        <v>10392</v>
      </c>
      <c r="BY305">
        <v>1440</v>
      </c>
    </row>
    <row r="306" spans="37:77" x14ac:dyDescent="0.3">
      <c r="AK306" s="70" t="s">
        <v>280</v>
      </c>
      <c r="AL306" s="72">
        <v>41129</v>
      </c>
      <c r="AM306"/>
      <c r="AW306" t="s">
        <v>7</v>
      </c>
      <c r="AX306" t="s">
        <v>17</v>
      </c>
      <c r="AY306" s="62">
        <v>38228</v>
      </c>
      <c r="AZ306">
        <v>10649</v>
      </c>
      <c r="BA306">
        <v>1434</v>
      </c>
      <c r="BU306" t="s">
        <v>7</v>
      </c>
      <c r="BV306" t="s">
        <v>17</v>
      </c>
      <c r="BW306" s="62">
        <v>38228</v>
      </c>
      <c r="BX306">
        <v>10649</v>
      </c>
      <c r="BY306">
        <v>1434</v>
      </c>
    </row>
    <row r="307" spans="37:77" x14ac:dyDescent="0.3">
      <c r="AK307" s="70" t="s">
        <v>281</v>
      </c>
      <c r="AL307" s="72">
        <v>41130</v>
      </c>
      <c r="AM307"/>
      <c r="AW307" t="s">
        <v>8</v>
      </c>
      <c r="AX307" t="s">
        <v>287</v>
      </c>
      <c r="AY307" s="62">
        <v>38371</v>
      </c>
      <c r="AZ307">
        <v>10834</v>
      </c>
      <c r="BA307">
        <v>1432.71</v>
      </c>
      <c r="BU307" t="s">
        <v>8</v>
      </c>
      <c r="BV307" t="s">
        <v>287</v>
      </c>
      <c r="BW307" s="62">
        <v>38371</v>
      </c>
      <c r="BX307">
        <v>10834</v>
      </c>
      <c r="BY307">
        <v>1432.71</v>
      </c>
    </row>
    <row r="308" spans="37:77" x14ac:dyDescent="0.3">
      <c r="AK308" s="70" t="s">
        <v>282</v>
      </c>
      <c r="AL308" s="72">
        <v>41131</v>
      </c>
      <c r="AM308"/>
      <c r="AW308" t="s">
        <v>7</v>
      </c>
      <c r="AX308" t="s">
        <v>17</v>
      </c>
      <c r="AY308" s="62">
        <v>38253</v>
      </c>
      <c r="AZ308">
        <v>10675</v>
      </c>
      <c r="BA308">
        <v>1423</v>
      </c>
      <c r="BU308" t="s">
        <v>7</v>
      </c>
      <c r="BV308" t="s">
        <v>17</v>
      </c>
      <c r="BW308" s="62">
        <v>38253</v>
      </c>
      <c r="BX308">
        <v>10675</v>
      </c>
      <c r="BY308">
        <v>1423</v>
      </c>
    </row>
    <row r="309" spans="37:77" x14ac:dyDescent="0.3">
      <c r="AK309" s="70" t="s">
        <v>283</v>
      </c>
      <c r="AL309" s="72">
        <v>41132</v>
      </c>
      <c r="AM309"/>
      <c r="AW309" t="s">
        <v>7</v>
      </c>
      <c r="AX309" t="s">
        <v>17</v>
      </c>
      <c r="AY309" s="62">
        <v>37874</v>
      </c>
      <c r="AZ309">
        <v>10297</v>
      </c>
      <c r="BA309">
        <v>1420</v>
      </c>
      <c r="BU309" t="s">
        <v>7</v>
      </c>
      <c r="BV309" t="s">
        <v>17</v>
      </c>
      <c r="BW309" s="62">
        <v>37874</v>
      </c>
      <c r="BX309">
        <v>10297</v>
      </c>
      <c r="BY309">
        <v>1420</v>
      </c>
    </row>
    <row r="310" spans="37:77" x14ac:dyDescent="0.3">
      <c r="AK310" s="70" t="s">
        <v>284</v>
      </c>
      <c r="AL310" s="72">
        <v>41133</v>
      </c>
      <c r="AM310"/>
      <c r="AW310" t="s">
        <v>8</v>
      </c>
      <c r="AX310" t="s">
        <v>14</v>
      </c>
      <c r="AY310" s="62">
        <v>38316</v>
      </c>
      <c r="AZ310">
        <v>10740</v>
      </c>
      <c r="BA310">
        <v>1416</v>
      </c>
      <c r="BU310" t="s">
        <v>8</v>
      </c>
      <c r="BV310" t="s">
        <v>14</v>
      </c>
      <c r="BW310" s="62">
        <v>38316</v>
      </c>
      <c r="BX310">
        <v>10740</v>
      </c>
      <c r="BY310">
        <v>1416</v>
      </c>
    </row>
    <row r="311" spans="37:77" x14ac:dyDescent="0.3">
      <c r="AK311" s="70" t="s">
        <v>285</v>
      </c>
      <c r="AL311" s="72">
        <v>41134</v>
      </c>
      <c r="AM311"/>
      <c r="AW311" t="s">
        <v>8</v>
      </c>
      <c r="AX311" t="s">
        <v>15</v>
      </c>
      <c r="AY311" s="62">
        <v>37856</v>
      </c>
      <c r="AZ311">
        <v>10283</v>
      </c>
      <c r="BA311">
        <v>1414.8</v>
      </c>
      <c r="BU311" t="s">
        <v>8</v>
      </c>
      <c r="BV311" t="s">
        <v>15</v>
      </c>
      <c r="BW311" s="62">
        <v>37856</v>
      </c>
      <c r="BX311">
        <v>10283</v>
      </c>
      <c r="BY311">
        <v>1414.8</v>
      </c>
    </row>
    <row r="312" spans="37:77" x14ac:dyDescent="0.3">
      <c r="AK312" s="70" t="s">
        <v>279</v>
      </c>
      <c r="AL312" s="72">
        <v>41135</v>
      </c>
      <c r="AM312"/>
      <c r="AW312" t="s">
        <v>8</v>
      </c>
      <c r="AX312" t="s">
        <v>14</v>
      </c>
      <c r="AY312" s="62">
        <v>38093</v>
      </c>
      <c r="AZ312">
        <v>10499</v>
      </c>
      <c r="BA312">
        <v>1412</v>
      </c>
      <c r="BU312" t="s">
        <v>8</v>
      </c>
      <c r="BV312" t="s">
        <v>14</v>
      </c>
      <c r="BW312" s="62">
        <v>38093</v>
      </c>
      <c r="BX312">
        <v>10499</v>
      </c>
      <c r="BY312">
        <v>1412</v>
      </c>
    </row>
    <row r="313" spans="37:77" x14ac:dyDescent="0.3">
      <c r="AK313" s="70" t="s">
        <v>286</v>
      </c>
      <c r="AL313" s="72">
        <v>41136</v>
      </c>
      <c r="AM313"/>
      <c r="AW313" t="s">
        <v>8</v>
      </c>
      <c r="AX313" t="s">
        <v>18</v>
      </c>
      <c r="AY313" s="62">
        <v>38361</v>
      </c>
      <c r="AZ313">
        <v>10808</v>
      </c>
      <c r="BA313">
        <v>1411</v>
      </c>
      <c r="BU313" t="s">
        <v>8</v>
      </c>
      <c r="BV313" t="s">
        <v>18</v>
      </c>
      <c r="BW313" s="62">
        <v>38361</v>
      </c>
      <c r="BX313">
        <v>10808</v>
      </c>
      <c r="BY313">
        <v>1411</v>
      </c>
    </row>
    <row r="314" spans="37:77" x14ac:dyDescent="0.3">
      <c r="AK314" s="70" t="s">
        <v>280</v>
      </c>
      <c r="AL314" s="72">
        <v>41137</v>
      </c>
      <c r="AM314"/>
      <c r="AW314" t="s">
        <v>8</v>
      </c>
      <c r="AX314" t="s">
        <v>287</v>
      </c>
      <c r="AY314" s="62">
        <v>38443</v>
      </c>
      <c r="AZ314">
        <v>10968</v>
      </c>
      <c r="BA314">
        <v>1408</v>
      </c>
      <c r="BU314" t="s">
        <v>8</v>
      </c>
      <c r="BV314" t="s">
        <v>287</v>
      </c>
      <c r="BW314" s="62">
        <v>38443</v>
      </c>
      <c r="BX314">
        <v>10968</v>
      </c>
      <c r="BY314">
        <v>1408</v>
      </c>
    </row>
    <row r="315" spans="37:77" x14ac:dyDescent="0.3">
      <c r="AK315" s="70" t="s">
        <v>281</v>
      </c>
      <c r="AL315" s="72">
        <v>41138</v>
      </c>
      <c r="AM315"/>
      <c r="AW315" t="s">
        <v>8</v>
      </c>
      <c r="AX315" t="s">
        <v>287</v>
      </c>
      <c r="AY315" s="62">
        <v>38430</v>
      </c>
      <c r="AZ315">
        <v>10946</v>
      </c>
      <c r="BA315">
        <v>1407.5</v>
      </c>
      <c r="BU315" t="s">
        <v>8</v>
      </c>
      <c r="BV315" t="s">
        <v>287</v>
      </c>
      <c r="BW315" s="62">
        <v>38430</v>
      </c>
      <c r="BX315">
        <v>10946</v>
      </c>
      <c r="BY315">
        <v>1407.5</v>
      </c>
    </row>
    <row r="316" spans="37:77" x14ac:dyDescent="0.3">
      <c r="AK316" s="70" t="s">
        <v>282</v>
      </c>
      <c r="AL316" s="72">
        <v>41139</v>
      </c>
      <c r="AM316"/>
      <c r="AW316" t="s">
        <v>8</v>
      </c>
      <c r="AX316" t="s">
        <v>18</v>
      </c>
      <c r="AY316" s="62">
        <v>38268</v>
      </c>
      <c r="AZ316">
        <v>10686</v>
      </c>
      <c r="BA316">
        <v>1404.45</v>
      </c>
      <c r="BU316" t="s">
        <v>8</v>
      </c>
      <c r="BV316" t="s">
        <v>18</v>
      </c>
      <c r="BW316" s="62">
        <v>38268</v>
      </c>
      <c r="BX316">
        <v>10686</v>
      </c>
      <c r="BY316">
        <v>1404.45</v>
      </c>
    </row>
    <row r="317" spans="37:77" x14ac:dyDescent="0.3">
      <c r="AK317" s="70" t="s">
        <v>283</v>
      </c>
      <c r="AL317" s="72">
        <v>41140</v>
      </c>
      <c r="AM317"/>
      <c r="AW317" t="s">
        <v>8</v>
      </c>
      <c r="AX317" t="s">
        <v>14</v>
      </c>
      <c r="AY317" s="62">
        <v>38203</v>
      </c>
      <c r="AZ317">
        <v>10617</v>
      </c>
      <c r="BA317">
        <v>1402.5</v>
      </c>
      <c r="BU317" t="s">
        <v>8</v>
      </c>
      <c r="BV317" t="s">
        <v>14</v>
      </c>
      <c r="BW317" s="62">
        <v>38203</v>
      </c>
      <c r="BX317">
        <v>10617</v>
      </c>
      <c r="BY317">
        <v>1402.5</v>
      </c>
    </row>
    <row r="318" spans="37:77" x14ac:dyDescent="0.3">
      <c r="AK318" s="70" t="s">
        <v>284</v>
      </c>
      <c r="AL318" s="72">
        <v>41141</v>
      </c>
      <c r="AM318"/>
      <c r="AW318" t="s">
        <v>8</v>
      </c>
      <c r="AX318" t="s">
        <v>14</v>
      </c>
      <c r="AY318" s="62">
        <v>38218</v>
      </c>
      <c r="AZ318">
        <v>10624</v>
      </c>
      <c r="BA318">
        <v>1393.24</v>
      </c>
      <c r="BU318" t="s">
        <v>8</v>
      </c>
      <c r="BV318" t="s">
        <v>14</v>
      </c>
      <c r="BW318" s="62">
        <v>38218</v>
      </c>
      <c r="BX318">
        <v>10624</v>
      </c>
      <c r="BY318">
        <v>1393.24</v>
      </c>
    </row>
    <row r="319" spans="37:77" x14ac:dyDescent="0.3">
      <c r="AK319" s="70" t="s">
        <v>285</v>
      </c>
      <c r="AL319" s="72">
        <v>41142</v>
      </c>
      <c r="AM319"/>
      <c r="AW319" t="s">
        <v>8</v>
      </c>
      <c r="AX319" t="s">
        <v>14</v>
      </c>
      <c r="AY319" s="62">
        <v>38095</v>
      </c>
      <c r="AZ319">
        <v>10504</v>
      </c>
      <c r="BA319">
        <v>1388.5</v>
      </c>
      <c r="BU319" t="s">
        <v>8</v>
      </c>
      <c r="BV319" t="s">
        <v>14</v>
      </c>
      <c r="BW319" s="62">
        <v>38095</v>
      </c>
      <c r="BX319">
        <v>10504</v>
      </c>
      <c r="BY319">
        <v>1388.5</v>
      </c>
    </row>
    <row r="320" spans="37:77" x14ac:dyDescent="0.3">
      <c r="AK320" s="70" t="s">
        <v>279</v>
      </c>
      <c r="AL320" s="72">
        <v>41143</v>
      </c>
      <c r="AM320"/>
      <c r="AW320" t="s">
        <v>7</v>
      </c>
      <c r="AX320" t="s">
        <v>288</v>
      </c>
      <c r="AY320" s="62">
        <v>38084</v>
      </c>
      <c r="AZ320">
        <v>10497</v>
      </c>
      <c r="BA320">
        <v>1380.6</v>
      </c>
      <c r="BU320" t="s">
        <v>7</v>
      </c>
      <c r="BV320" t="s">
        <v>288</v>
      </c>
      <c r="BW320" s="62">
        <v>38084</v>
      </c>
      <c r="BX320">
        <v>10497</v>
      </c>
      <c r="BY320">
        <v>1380.6</v>
      </c>
    </row>
    <row r="321" spans="37:77" x14ac:dyDescent="0.3">
      <c r="AK321" s="70" t="s">
        <v>286</v>
      </c>
      <c r="AL321" s="72">
        <v>41144</v>
      </c>
      <c r="AM321"/>
      <c r="AW321" t="s">
        <v>8</v>
      </c>
      <c r="AX321" t="s">
        <v>14</v>
      </c>
      <c r="AY321" s="62">
        <v>38396</v>
      </c>
      <c r="AZ321">
        <v>10884</v>
      </c>
      <c r="BA321">
        <v>1378.07</v>
      </c>
      <c r="BU321" t="s">
        <v>8</v>
      </c>
      <c r="BV321" t="s">
        <v>14</v>
      </c>
      <c r="BW321" s="62">
        <v>38396</v>
      </c>
      <c r="BX321">
        <v>10884</v>
      </c>
      <c r="BY321">
        <v>1378.07</v>
      </c>
    </row>
    <row r="322" spans="37:77" x14ac:dyDescent="0.3">
      <c r="AK322" s="70" t="s">
        <v>280</v>
      </c>
      <c r="AL322" s="72">
        <v>41145</v>
      </c>
      <c r="AM322"/>
      <c r="AW322" t="s">
        <v>8</v>
      </c>
      <c r="AX322" t="s">
        <v>287</v>
      </c>
      <c r="AY322" s="62">
        <v>37835</v>
      </c>
      <c r="AZ322">
        <v>10270</v>
      </c>
      <c r="BA322">
        <v>1376</v>
      </c>
      <c r="BU322" t="s">
        <v>8</v>
      </c>
      <c r="BV322" t="s">
        <v>287</v>
      </c>
      <c r="BW322" s="62">
        <v>37835</v>
      </c>
      <c r="BX322">
        <v>10270</v>
      </c>
      <c r="BY322">
        <v>1376</v>
      </c>
    </row>
    <row r="323" spans="37:77" x14ac:dyDescent="0.3">
      <c r="AK323" s="70" t="s">
        <v>281</v>
      </c>
      <c r="AL323" s="72">
        <v>41146</v>
      </c>
      <c r="AM323"/>
      <c r="AW323" t="s">
        <v>8</v>
      </c>
      <c r="AX323" t="s">
        <v>15</v>
      </c>
      <c r="AY323" s="62">
        <v>38231</v>
      </c>
      <c r="AZ323">
        <v>10644</v>
      </c>
      <c r="BA323">
        <v>1371.8</v>
      </c>
      <c r="BU323" t="s">
        <v>8</v>
      </c>
      <c r="BV323" t="s">
        <v>15</v>
      </c>
      <c r="BW323" s="62">
        <v>38231</v>
      </c>
      <c r="BX323">
        <v>10644</v>
      </c>
      <c r="BY323">
        <v>1371.8</v>
      </c>
    </row>
    <row r="324" spans="37:77" x14ac:dyDescent="0.3">
      <c r="AK324" s="70" t="s">
        <v>282</v>
      </c>
      <c r="AL324" s="72">
        <v>41147</v>
      </c>
      <c r="AM324"/>
      <c r="AW324" t="s">
        <v>8</v>
      </c>
      <c r="AX324" t="s">
        <v>14</v>
      </c>
      <c r="AY324" s="62">
        <v>37966</v>
      </c>
      <c r="AZ324">
        <v>10373</v>
      </c>
      <c r="BA324">
        <v>1366.4</v>
      </c>
      <c r="BU324" t="s">
        <v>8</v>
      </c>
      <c r="BV324" t="s">
        <v>14</v>
      </c>
      <c r="BW324" s="62">
        <v>37966</v>
      </c>
      <c r="BX324">
        <v>10373</v>
      </c>
      <c r="BY324">
        <v>1366.4</v>
      </c>
    </row>
    <row r="325" spans="37:77" x14ac:dyDescent="0.3">
      <c r="AK325" s="70" t="s">
        <v>283</v>
      </c>
      <c r="AL325" s="72">
        <v>41148</v>
      </c>
      <c r="AM325"/>
      <c r="AW325" t="s">
        <v>8</v>
      </c>
      <c r="AX325" t="s">
        <v>18</v>
      </c>
      <c r="AY325" s="62">
        <v>38444</v>
      </c>
      <c r="AZ325">
        <v>10989</v>
      </c>
      <c r="BA325">
        <v>1353.6</v>
      </c>
      <c r="BU325" t="s">
        <v>8</v>
      </c>
      <c r="BV325" t="s">
        <v>18</v>
      </c>
      <c r="BW325" s="62">
        <v>38444</v>
      </c>
      <c r="BX325">
        <v>10989</v>
      </c>
      <c r="BY325">
        <v>1353.6</v>
      </c>
    </row>
    <row r="326" spans="37:77" x14ac:dyDescent="0.3">
      <c r="AK326" s="70" t="s">
        <v>284</v>
      </c>
      <c r="AL326" s="72">
        <v>41149</v>
      </c>
      <c r="AM326"/>
      <c r="AW326" t="s">
        <v>8</v>
      </c>
      <c r="AX326" t="s">
        <v>289</v>
      </c>
      <c r="AY326" s="62">
        <v>38211</v>
      </c>
      <c r="AZ326">
        <v>10623</v>
      </c>
      <c r="BA326">
        <v>1336.95</v>
      </c>
      <c r="BU326" t="s">
        <v>8</v>
      </c>
      <c r="BV326" t="s">
        <v>289</v>
      </c>
      <c r="BW326" s="62">
        <v>38211</v>
      </c>
      <c r="BX326">
        <v>10623</v>
      </c>
      <c r="BY326">
        <v>1336.95</v>
      </c>
    </row>
    <row r="327" spans="37:77" x14ac:dyDescent="0.3">
      <c r="AK327" s="70" t="s">
        <v>285</v>
      </c>
      <c r="AL327" s="72">
        <v>41150</v>
      </c>
      <c r="AM327"/>
      <c r="AW327" t="s">
        <v>8</v>
      </c>
      <c r="AX327" t="s">
        <v>15</v>
      </c>
      <c r="AY327" s="62">
        <v>38366</v>
      </c>
      <c r="AZ327">
        <v>10779</v>
      </c>
      <c r="BA327">
        <v>1335</v>
      </c>
      <c r="BU327" t="s">
        <v>8</v>
      </c>
      <c r="BV327" t="s">
        <v>15</v>
      </c>
      <c r="BW327" s="62">
        <v>38366</v>
      </c>
      <c r="BX327">
        <v>10779</v>
      </c>
      <c r="BY327">
        <v>1335</v>
      </c>
    </row>
    <row r="328" spans="37:77" x14ac:dyDescent="0.3">
      <c r="AK328" s="70" t="s">
        <v>279</v>
      </c>
      <c r="AL328" s="72">
        <v>41151</v>
      </c>
      <c r="AM328"/>
      <c r="AW328" t="s">
        <v>8</v>
      </c>
      <c r="AX328" t="s">
        <v>15</v>
      </c>
      <c r="AY328" s="62">
        <v>38473</v>
      </c>
      <c r="AZ328">
        <v>11052</v>
      </c>
      <c r="BA328">
        <v>1332</v>
      </c>
      <c r="BU328" t="s">
        <v>8</v>
      </c>
      <c r="BV328" t="s">
        <v>15</v>
      </c>
      <c r="BW328" s="62">
        <v>38473</v>
      </c>
      <c r="BX328">
        <v>11052</v>
      </c>
      <c r="BY328">
        <v>1332</v>
      </c>
    </row>
    <row r="329" spans="37:77" x14ac:dyDescent="0.3">
      <c r="AK329" s="70" t="s">
        <v>286</v>
      </c>
      <c r="AL329" s="72">
        <v>41152</v>
      </c>
      <c r="AM329"/>
      <c r="AW329" t="s">
        <v>8</v>
      </c>
      <c r="AX329" t="s">
        <v>18</v>
      </c>
      <c r="AY329" s="62">
        <v>38064</v>
      </c>
      <c r="AZ329">
        <v>10471</v>
      </c>
      <c r="BA329">
        <v>1328</v>
      </c>
      <c r="BU329" t="s">
        <v>8</v>
      </c>
      <c r="BV329" t="s">
        <v>18</v>
      </c>
      <c r="BW329" s="62">
        <v>38064</v>
      </c>
      <c r="BX329">
        <v>10471</v>
      </c>
      <c r="BY329">
        <v>1328</v>
      </c>
    </row>
    <row r="330" spans="37:77" x14ac:dyDescent="0.3">
      <c r="AK330" s="70" t="s">
        <v>280</v>
      </c>
      <c r="AL330" s="72">
        <v>41153</v>
      </c>
      <c r="AM330"/>
      <c r="AW330" t="s">
        <v>8</v>
      </c>
      <c r="AX330" t="s">
        <v>289</v>
      </c>
      <c r="AY330" s="62">
        <v>38220</v>
      </c>
      <c r="AZ330">
        <v>10635</v>
      </c>
      <c r="BA330">
        <v>1326.22</v>
      </c>
      <c r="BU330" t="s">
        <v>8</v>
      </c>
      <c r="BV330" t="s">
        <v>289</v>
      </c>
      <c r="BW330" s="62">
        <v>38220</v>
      </c>
      <c r="BX330">
        <v>10635</v>
      </c>
      <c r="BY330">
        <v>1326.22</v>
      </c>
    </row>
    <row r="331" spans="37:77" x14ac:dyDescent="0.3">
      <c r="AK331" s="70" t="s">
        <v>281</v>
      </c>
      <c r="AL331" s="72">
        <v>41154</v>
      </c>
      <c r="AM331"/>
      <c r="AW331" t="s">
        <v>8</v>
      </c>
      <c r="AX331" t="s">
        <v>289</v>
      </c>
      <c r="AY331" s="62">
        <v>38002</v>
      </c>
      <c r="AZ331">
        <v>10380</v>
      </c>
      <c r="BA331">
        <v>1313.82</v>
      </c>
      <c r="BU331" t="s">
        <v>8</v>
      </c>
      <c r="BV331" t="s">
        <v>289</v>
      </c>
      <c r="BW331" s="62">
        <v>38002</v>
      </c>
      <c r="BX331">
        <v>10380</v>
      </c>
      <c r="BY331">
        <v>1313.82</v>
      </c>
    </row>
    <row r="332" spans="37:77" x14ac:dyDescent="0.3">
      <c r="AK332" s="70" t="s">
        <v>282</v>
      </c>
      <c r="AL332" s="72">
        <v>41155</v>
      </c>
      <c r="AM332"/>
      <c r="AW332" t="s">
        <v>7</v>
      </c>
      <c r="AX332" t="s">
        <v>16</v>
      </c>
      <c r="AY332" s="62">
        <v>38465</v>
      </c>
      <c r="AZ332">
        <v>10978</v>
      </c>
      <c r="BA332">
        <v>1303.19</v>
      </c>
      <c r="BU332" t="s">
        <v>7</v>
      </c>
      <c r="BV332" t="s">
        <v>16</v>
      </c>
      <c r="BW332" s="62">
        <v>38465</v>
      </c>
      <c r="BX332">
        <v>10978</v>
      </c>
      <c r="BY332">
        <v>1303.19</v>
      </c>
    </row>
    <row r="333" spans="37:77" x14ac:dyDescent="0.3">
      <c r="AK333" s="70" t="s">
        <v>283</v>
      </c>
      <c r="AL333" s="72">
        <v>41156</v>
      </c>
      <c r="AM333"/>
      <c r="AW333" t="s">
        <v>8</v>
      </c>
      <c r="AX333" t="s">
        <v>14</v>
      </c>
      <c r="AY333" s="62">
        <v>38302</v>
      </c>
      <c r="AZ333">
        <v>10728</v>
      </c>
      <c r="BA333">
        <v>1296.75</v>
      </c>
      <c r="BU333" t="s">
        <v>8</v>
      </c>
      <c r="BV333" t="s">
        <v>14</v>
      </c>
      <c r="BW333" s="62">
        <v>38302</v>
      </c>
      <c r="BX333">
        <v>10728</v>
      </c>
      <c r="BY333">
        <v>1296.75</v>
      </c>
    </row>
    <row r="334" spans="37:77" x14ac:dyDescent="0.3">
      <c r="AK334" s="70" t="s">
        <v>284</v>
      </c>
      <c r="AL334" s="72">
        <v>41157</v>
      </c>
      <c r="AM334"/>
      <c r="AW334" t="s">
        <v>8</v>
      </c>
      <c r="AX334" t="s">
        <v>287</v>
      </c>
      <c r="AY334" s="62">
        <v>37866</v>
      </c>
      <c r="AZ334">
        <v>10292</v>
      </c>
      <c r="BA334">
        <v>1296</v>
      </c>
      <c r="BU334" t="s">
        <v>8</v>
      </c>
      <c r="BV334" t="s">
        <v>287</v>
      </c>
      <c r="BW334" s="62">
        <v>37866</v>
      </c>
      <c r="BX334">
        <v>10292</v>
      </c>
      <c r="BY334">
        <v>1296</v>
      </c>
    </row>
    <row r="335" spans="37:77" x14ac:dyDescent="0.3">
      <c r="AK335" s="70" t="s">
        <v>285</v>
      </c>
      <c r="AL335" s="72">
        <v>41158</v>
      </c>
      <c r="AM335"/>
      <c r="AW335" t="s">
        <v>8</v>
      </c>
      <c r="AX335" t="s">
        <v>15</v>
      </c>
      <c r="AY335" s="62">
        <v>38289</v>
      </c>
      <c r="AZ335">
        <v>10715</v>
      </c>
      <c r="BA335">
        <v>1296</v>
      </c>
      <c r="BU335" t="s">
        <v>8</v>
      </c>
      <c r="BV335" t="s">
        <v>15</v>
      </c>
      <c r="BW335" s="62">
        <v>38289</v>
      </c>
      <c r="BX335">
        <v>10715</v>
      </c>
      <c r="BY335">
        <v>1296</v>
      </c>
    </row>
    <row r="336" spans="37:77" x14ac:dyDescent="0.3">
      <c r="AK336" s="70" t="s">
        <v>279</v>
      </c>
      <c r="AL336" s="72">
        <v>41159</v>
      </c>
      <c r="AM336"/>
      <c r="AW336" t="s">
        <v>8</v>
      </c>
      <c r="AX336" t="s">
        <v>287</v>
      </c>
      <c r="AY336" s="62">
        <v>38247</v>
      </c>
      <c r="AZ336">
        <v>10665</v>
      </c>
      <c r="BA336">
        <v>1295</v>
      </c>
      <c r="BU336" t="s">
        <v>8</v>
      </c>
      <c r="BV336" t="s">
        <v>287</v>
      </c>
      <c r="BW336" s="62">
        <v>38247</v>
      </c>
      <c r="BX336">
        <v>10665</v>
      </c>
      <c r="BY336">
        <v>1295</v>
      </c>
    </row>
    <row r="337" spans="37:77" x14ac:dyDescent="0.3">
      <c r="AK337" s="70" t="s">
        <v>286</v>
      </c>
      <c r="AL337" s="72">
        <v>41160</v>
      </c>
      <c r="AM337"/>
      <c r="AW337" t="s">
        <v>8</v>
      </c>
      <c r="AX337" t="s">
        <v>287</v>
      </c>
      <c r="AY337" s="62">
        <v>38249</v>
      </c>
      <c r="AZ337">
        <v>10664</v>
      </c>
      <c r="BA337">
        <v>1288.3900000000001</v>
      </c>
      <c r="BU337" t="s">
        <v>8</v>
      </c>
      <c r="BV337" t="s">
        <v>287</v>
      </c>
      <c r="BW337" s="62">
        <v>38249</v>
      </c>
      <c r="BX337">
        <v>10664</v>
      </c>
      <c r="BY337">
        <v>1288.3900000000001</v>
      </c>
    </row>
    <row r="338" spans="37:77" x14ac:dyDescent="0.3">
      <c r="AK338" s="70" t="s">
        <v>280</v>
      </c>
      <c r="AL338" s="72">
        <v>41161</v>
      </c>
      <c r="AM338"/>
      <c r="AW338" t="s">
        <v>8</v>
      </c>
      <c r="AX338" t="s">
        <v>15</v>
      </c>
      <c r="AY338" s="62">
        <v>38260</v>
      </c>
      <c r="AZ338">
        <v>10681</v>
      </c>
      <c r="BA338">
        <v>1287.4000000000001</v>
      </c>
      <c r="BU338" t="s">
        <v>8</v>
      </c>
      <c r="BV338" t="s">
        <v>15</v>
      </c>
      <c r="BW338" s="62">
        <v>38260</v>
      </c>
      <c r="BX338">
        <v>10681</v>
      </c>
      <c r="BY338">
        <v>1287.4000000000001</v>
      </c>
    </row>
    <row r="339" spans="37:77" x14ac:dyDescent="0.3">
      <c r="AK339" s="70" t="s">
        <v>281</v>
      </c>
      <c r="AL339" s="72">
        <v>41162</v>
      </c>
      <c r="AM339"/>
      <c r="AW339" t="s">
        <v>8</v>
      </c>
      <c r="AX339" t="s">
        <v>14</v>
      </c>
      <c r="AY339" s="62">
        <v>38469</v>
      </c>
      <c r="AZ339">
        <v>11029</v>
      </c>
      <c r="BA339">
        <v>1286.8</v>
      </c>
      <c r="BU339" t="s">
        <v>8</v>
      </c>
      <c r="BV339" t="s">
        <v>14</v>
      </c>
      <c r="BW339" s="62">
        <v>38469</v>
      </c>
      <c r="BX339">
        <v>11029</v>
      </c>
      <c r="BY339">
        <v>1286.8</v>
      </c>
    </row>
    <row r="340" spans="37:77" x14ac:dyDescent="0.3">
      <c r="AK340" s="70" t="s">
        <v>282</v>
      </c>
      <c r="AL340" s="72">
        <v>41163</v>
      </c>
      <c r="AM340"/>
      <c r="AW340" t="s">
        <v>8</v>
      </c>
      <c r="AX340" t="s">
        <v>287</v>
      </c>
      <c r="AY340" s="62">
        <v>38079</v>
      </c>
      <c r="AZ340">
        <v>10486</v>
      </c>
      <c r="BA340">
        <v>1272</v>
      </c>
      <c r="BU340" t="s">
        <v>8</v>
      </c>
      <c r="BV340" t="s">
        <v>287</v>
      </c>
      <c r="BW340" s="62">
        <v>38079</v>
      </c>
      <c r="BX340">
        <v>10486</v>
      </c>
      <c r="BY340">
        <v>1272</v>
      </c>
    </row>
    <row r="341" spans="37:77" x14ac:dyDescent="0.3">
      <c r="AK341" s="70" t="s">
        <v>283</v>
      </c>
      <c r="AL341" s="72">
        <v>41164</v>
      </c>
      <c r="AM341"/>
      <c r="AW341" t="s">
        <v>8</v>
      </c>
      <c r="AX341" t="s">
        <v>287</v>
      </c>
      <c r="AY341" s="62">
        <v>38289</v>
      </c>
      <c r="AZ341">
        <v>10717</v>
      </c>
      <c r="BA341">
        <v>1270.75</v>
      </c>
      <c r="BU341" t="s">
        <v>8</v>
      </c>
      <c r="BV341" t="s">
        <v>287</v>
      </c>
      <c r="BW341" s="62">
        <v>38289</v>
      </c>
      <c r="BX341">
        <v>10717</v>
      </c>
      <c r="BY341">
        <v>1270.75</v>
      </c>
    </row>
    <row r="342" spans="37:77" x14ac:dyDescent="0.3">
      <c r="AK342" s="70" t="s">
        <v>284</v>
      </c>
      <c r="AL342" s="72">
        <v>41165</v>
      </c>
      <c r="AM342"/>
      <c r="AW342" t="s">
        <v>8</v>
      </c>
      <c r="AX342" t="s">
        <v>287</v>
      </c>
      <c r="AY342" s="62">
        <v>38256</v>
      </c>
      <c r="AZ342">
        <v>10680</v>
      </c>
      <c r="BA342">
        <v>1261.8800000000001</v>
      </c>
      <c r="BU342" t="s">
        <v>8</v>
      </c>
      <c r="BV342" t="s">
        <v>287</v>
      </c>
      <c r="BW342" s="62">
        <v>38256</v>
      </c>
      <c r="BX342">
        <v>10680</v>
      </c>
      <c r="BY342">
        <v>1261.8800000000001</v>
      </c>
    </row>
    <row r="343" spans="37:77" x14ac:dyDescent="0.3">
      <c r="AK343" s="70" t="s">
        <v>285</v>
      </c>
      <c r="AL343" s="72">
        <v>41166</v>
      </c>
      <c r="AM343"/>
      <c r="AW343" t="s">
        <v>8</v>
      </c>
      <c r="AX343" t="s">
        <v>15</v>
      </c>
      <c r="AY343" s="62">
        <v>38206</v>
      </c>
      <c r="AZ343">
        <v>10619</v>
      </c>
      <c r="BA343">
        <v>1260</v>
      </c>
      <c r="BU343" t="s">
        <v>8</v>
      </c>
      <c r="BV343" t="s">
        <v>15</v>
      </c>
      <c r="BW343" s="62">
        <v>38206</v>
      </c>
      <c r="BX343">
        <v>10619</v>
      </c>
      <c r="BY343">
        <v>1260</v>
      </c>
    </row>
    <row r="344" spans="37:77" x14ac:dyDescent="0.3">
      <c r="AK344" s="70" t="s">
        <v>279</v>
      </c>
      <c r="AL344" s="72">
        <v>41167</v>
      </c>
      <c r="AM344"/>
      <c r="AW344" t="s">
        <v>7</v>
      </c>
      <c r="AX344" t="s">
        <v>17</v>
      </c>
      <c r="AY344" s="62">
        <v>38067</v>
      </c>
      <c r="AZ344">
        <v>10474</v>
      </c>
      <c r="BA344">
        <v>1249.0999999999999</v>
      </c>
      <c r="BU344" t="s">
        <v>7</v>
      </c>
      <c r="BV344" t="s">
        <v>17</v>
      </c>
      <c r="BW344" s="62">
        <v>38067</v>
      </c>
      <c r="BX344">
        <v>10474</v>
      </c>
      <c r="BY344">
        <v>1249.0999999999999</v>
      </c>
    </row>
    <row r="345" spans="37:77" x14ac:dyDescent="0.3">
      <c r="AK345" s="70" t="s">
        <v>286</v>
      </c>
      <c r="AL345" s="72">
        <v>41168</v>
      </c>
      <c r="AM345"/>
      <c r="AW345" t="s">
        <v>8</v>
      </c>
      <c r="AX345" t="s">
        <v>14</v>
      </c>
      <c r="AY345" s="62">
        <v>38154</v>
      </c>
      <c r="AZ345">
        <v>10564</v>
      </c>
      <c r="BA345">
        <v>1234.05</v>
      </c>
      <c r="BU345" t="s">
        <v>8</v>
      </c>
      <c r="BV345" t="s">
        <v>14</v>
      </c>
      <c r="BW345" s="62">
        <v>38154</v>
      </c>
      <c r="BX345">
        <v>10564</v>
      </c>
      <c r="BY345">
        <v>1234.05</v>
      </c>
    </row>
    <row r="346" spans="37:77" x14ac:dyDescent="0.3">
      <c r="AK346" s="70" t="s">
        <v>280</v>
      </c>
      <c r="AL346" s="72">
        <v>41169</v>
      </c>
      <c r="AM346"/>
      <c r="AW346" t="s">
        <v>8</v>
      </c>
      <c r="AX346" t="s">
        <v>15</v>
      </c>
      <c r="AY346" s="62">
        <v>38291</v>
      </c>
      <c r="AZ346">
        <v>10712</v>
      </c>
      <c r="BA346">
        <v>1233.48</v>
      </c>
      <c r="BU346" t="s">
        <v>8</v>
      </c>
      <c r="BV346" t="s">
        <v>15</v>
      </c>
      <c r="BW346" s="62">
        <v>38291</v>
      </c>
      <c r="BX346">
        <v>10712</v>
      </c>
      <c r="BY346">
        <v>1233.48</v>
      </c>
    </row>
    <row r="347" spans="37:77" x14ac:dyDescent="0.3">
      <c r="AK347" s="70" t="s">
        <v>281</v>
      </c>
      <c r="AL347" s="72">
        <v>41170</v>
      </c>
      <c r="AM347"/>
      <c r="AW347" t="s">
        <v>8</v>
      </c>
      <c r="AX347" t="s">
        <v>18</v>
      </c>
      <c r="AY347" s="62">
        <v>37975</v>
      </c>
      <c r="AZ347">
        <v>10388</v>
      </c>
      <c r="BA347">
        <v>1228.8</v>
      </c>
      <c r="BU347" t="s">
        <v>8</v>
      </c>
      <c r="BV347" t="s">
        <v>18</v>
      </c>
      <c r="BW347" s="62">
        <v>37975</v>
      </c>
      <c r="BX347">
        <v>10388</v>
      </c>
      <c r="BY347">
        <v>1228.8</v>
      </c>
    </row>
    <row r="348" spans="37:77" x14ac:dyDescent="0.3">
      <c r="AK348" s="70" t="s">
        <v>282</v>
      </c>
      <c r="AL348" s="72">
        <v>41171</v>
      </c>
      <c r="AM348"/>
      <c r="AW348" t="s">
        <v>7</v>
      </c>
      <c r="AX348" t="s">
        <v>288</v>
      </c>
      <c r="AY348" s="62">
        <v>38240</v>
      </c>
      <c r="AZ348">
        <v>10659</v>
      </c>
      <c r="BA348">
        <v>1227.02</v>
      </c>
      <c r="BU348" t="s">
        <v>7</v>
      </c>
      <c r="BV348" t="s">
        <v>288</v>
      </c>
      <c r="BW348" s="62">
        <v>38240</v>
      </c>
      <c r="BX348">
        <v>10659</v>
      </c>
      <c r="BY348">
        <v>1227.02</v>
      </c>
    </row>
    <row r="349" spans="37:77" x14ac:dyDescent="0.3">
      <c r="AK349" s="70" t="s">
        <v>283</v>
      </c>
      <c r="AL349" s="72">
        <v>41172</v>
      </c>
      <c r="AM349"/>
      <c r="AW349" t="s">
        <v>7</v>
      </c>
      <c r="AX349" t="s">
        <v>13</v>
      </c>
      <c r="AY349" s="62">
        <v>38401</v>
      </c>
      <c r="AZ349">
        <v>10885</v>
      </c>
      <c r="BA349">
        <v>1209</v>
      </c>
      <c r="BU349" t="s">
        <v>7</v>
      </c>
      <c r="BV349" t="s">
        <v>13</v>
      </c>
      <c r="BW349" s="62">
        <v>38401</v>
      </c>
      <c r="BX349">
        <v>10885</v>
      </c>
      <c r="BY349">
        <v>1209</v>
      </c>
    </row>
    <row r="350" spans="37:77" x14ac:dyDescent="0.3">
      <c r="AK350" s="70" t="s">
        <v>284</v>
      </c>
      <c r="AL350" s="72">
        <v>41173</v>
      </c>
      <c r="AM350"/>
      <c r="AW350" t="s">
        <v>8</v>
      </c>
      <c r="AX350" t="s">
        <v>18</v>
      </c>
      <c r="AY350" s="62">
        <v>37846</v>
      </c>
      <c r="AZ350">
        <v>10277</v>
      </c>
      <c r="BA350">
        <v>1200.8</v>
      </c>
      <c r="BU350" t="s">
        <v>8</v>
      </c>
      <c r="BV350" t="s">
        <v>18</v>
      </c>
      <c r="BW350" s="62">
        <v>37846</v>
      </c>
      <c r="BX350">
        <v>10277</v>
      </c>
      <c r="BY350">
        <v>1200.8</v>
      </c>
    </row>
    <row r="351" spans="37:77" x14ac:dyDescent="0.3">
      <c r="AK351" s="70" t="s">
        <v>285</v>
      </c>
      <c r="AL351" s="72">
        <v>41174</v>
      </c>
      <c r="AM351"/>
      <c r="AW351" t="s">
        <v>7</v>
      </c>
      <c r="AX351" t="s">
        <v>13</v>
      </c>
      <c r="AY351" s="62">
        <v>38452</v>
      </c>
      <c r="AZ351">
        <v>10999</v>
      </c>
      <c r="BA351">
        <v>1197.95</v>
      </c>
      <c r="BU351" t="s">
        <v>7</v>
      </c>
      <c r="BV351" t="s">
        <v>13</v>
      </c>
      <c r="BW351" s="62">
        <v>38452</v>
      </c>
      <c r="BX351">
        <v>10999</v>
      </c>
      <c r="BY351">
        <v>1197.95</v>
      </c>
    </row>
    <row r="352" spans="37:77" x14ac:dyDescent="0.3">
      <c r="AK352" s="70" t="s">
        <v>279</v>
      </c>
      <c r="AL352" s="72">
        <v>41175</v>
      </c>
      <c r="AM352"/>
      <c r="AW352" t="s">
        <v>8</v>
      </c>
      <c r="AX352" t="s">
        <v>287</v>
      </c>
      <c r="AY352" s="62">
        <v>38448</v>
      </c>
      <c r="AZ352">
        <v>10995</v>
      </c>
      <c r="BA352">
        <v>1196</v>
      </c>
      <c r="BU352" t="s">
        <v>8</v>
      </c>
      <c r="BV352" t="s">
        <v>287</v>
      </c>
      <c r="BW352" s="62">
        <v>38448</v>
      </c>
      <c r="BX352">
        <v>10995</v>
      </c>
      <c r="BY352">
        <v>1196</v>
      </c>
    </row>
    <row r="353" spans="37:77" x14ac:dyDescent="0.3">
      <c r="AK353" s="70" t="s">
        <v>286</v>
      </c>
      <c r="AL353" s="72">
        <v>41176</v>
      </c>
      <c r="AM353"/>
      <c r="AW353" t="s">
        <v>8</v>
      </c>
      <c r="AX353" t="s">
        <v>289</v>
      </c>
      <c r="AY353" s="62">
        <v>38013</v>
      </c>
      <c r="AZ353">
        <v>10421</v>
      </c>
      <c r="BA353">
        <v>1194.27</v>
      </c>
      <c r="BU353" t="s">
        <v>8</v>
      </c>
      <c r="BV353" t="s">
        <v>289</v>
      </c>
      <c r="BW353" s="62">
        <v>38013</v>
      </c>
      <c r="BX353">
        <v>10421</v>
      </c>
      <c r="BY353">
        <v>1194.27</v>
      </c>
    </row>
    <row r="354" spans="37:77" x14ac:dyDescent="0.3">
      <c r="AK354" s="70" t="s">
        <v>280</v>
      </c>
      <c r="AL354" s="72">
        <v>41177</v>
      </c>
      <c r="AM354"/>
      <c r="AW354" t="s">
        <v>8</v>
      </c>
      <c r="AX354" t="s">
        <v>18</v>
      </c>
      <c r="AY354" s="62">
        <v>38016</v>
      </c>
      <c r="AZ354">
        <v>10407</v>
      </c>
      <c r="BA354">
        <v>1194</v>
      </c>
      <c r="BU354" t="s">
        <v>8</v>
      </c>
      <c r="BV354" t="s">
        <v>18</v>
      </c>
      <c r="BW354" s="62">
        <v>38016</v>
      </c>
      <c r="BX354">
        <v>10407</v>
      </c>
      <c r="BY354">
        <v>1194</v>
      </c>
    </row>
    <row r="355" spans="37:77" x14ac:dyDescent="0.3">
      <c r="AK355" s="70" t="s">
        <v>281</v>
      </c>
      <c r="AL355" s="72">
        <v>41178</v>
      </c>
      <c r="AM355"/>
      <c r="AW355" t="s">
        <v>8</v>
      </c>
      <c r="AX355" t="s">
        <v>14</v>
      </c>
      <c r="AY355" s="62">
        <v>38358</v>
      </c>
      <c r="AZ355">
        <v>10803</v>
      </c>
      <c r="BA355">
        <v>1193.01</v>
      </c>
      <c r="BU355" t="s">
        <v>8</v>
      </c>
      <c r="BV355" t="s">
        <v>14</v>
      </c>
      <c r="BW355" s="62">
        <v>38358</v>
      </c>
      <c r="BX355">
        <v>10803</v>
      </c>
      <c r="BY355">
        <v>1193.01</v>
      </c>
    </row>
    <row r="356" spans="37:77" x14ac:dyDescent="0.3">
      <c r="AK356" s="70" t="s">
        <v>282</v>
      </c>
      <c r="AL356" s="72">
        <v>41179</v>
      </c>
      <c r="AM356"/>
      <c r="AW356" t="s">
        <v>7</v>
      </c>
      <c r="AX356" t="s">
        <v>288</v>
      </c>
      <c r="AY356" s="62">
        <v>37905</v>
      </c>
      <c r="AZ356">
        <v>10319</v>
      </c>
      <c r="BA356">
        <v>1191.2</v>
      </c>
      <c r="BU356" t="s">
        <v>7</v>
      </c>
      <c r="BV356" t="s">
        <v>288</v>
      </c>
      <c r="BW356" s="62">
        <v>37905</v>
      </c>
      <c r="BX356">
        <v>10319</v>
      </c>
      <c r="BY356">
        <v>1191.2</v>
      </c>
    </row>
    <row r="357" spans="37:77" x14ac:dyDescent="0.3">
      <c r="AK357" s="70" t="s">
        <v>283</v>
      </c>
      <c r="AL357" s="72">
        <v>41180</v>
      </c>
      <c r="AM357"/>
      <c r="AW357" t="s">
        <v>8</v>
      </c>
      <c r="AX357" t="s">
        <v>289</v>
      </c>
      <c r="AY357" s="62">
        <v>38220</v>
      </c>
      <c r="AZ357">
        <v>10627</v>
      </c>
      <c r="BA357">
        <v>1185.75</v>
      </c>
      <c r="BU357" t="s">
        <v>8</v>
      </c>
      <c r="BV357" t="s">
        <v>289</v>
      </c>
      <c r="BW357" s="62">
        <v>38220</v>
      </c>
      <c r="BX357">
        <v>10627</v>
      </c>
      <c r="BY357">
        <v>1185.75</v>
      </c>
    </row>
    <row r="358" spans="37:77" x14ac:dyDescent="0.3">
      <c r="AK358" s="70" t="s">
        <v>284</v>
      </c>
      <c r="AL358" s="72">
        <v>41181</v>
      </c>
      <c r="AM358"/>
      <c r="AW358" t="s">
        <v>8</v>
      </c>
      <c r="AX358" t="s">
        <v>289</v>
      </c>
      <c r="AY358" s="62">
        <v>38211</v>
      </c>
      <c r="AZ358">
        <v>10596</v>
      </c>
      <c r="BA358">
        <v>1180.8800000000001</v>
      </c>
      <c r="BU358" t="s">
        <v>8</v>
      </c>
      <c r="BV358" t="s">
        <v>289</v>
      </c>
      <c r="BW358" s="62">
        <v>38211</v>
      </c>
      <c r="BX358">
        <v>10596</v>
      </c>
      <c r="BY358">
        <v>1180.8800000000001</v>
      </c>
    </row>
    <row r="359" spans="37:77" x14ac:dyDescent="0.3">
      <c r="AK359" s="70" t="s">
        <v>285</v>
      </c>
      <c r="AL359" s="72">
        <v>41182</v>
      </c>
      <c r="AM359"/>
      <c r="AW359" t="s">
        <v>8</v>
      </c>
      <c r="AX359" t="s">
        <v>18</v>
      </c>
      <c r="AY359" s="62">
        <v>37845</v>
      </c>
      <c r="AZ359">
        <v>10265</v>
      </c>
      <c r="BA359">
        <v>1176</v>
      </c>
      <c r="BU359" t="s">
        <v>8</v>
      </c>
      <c r="BV359" t="s">
        <v>18</v>
      </c>
      <c r="BW359" s="62">
        <v>37845</v>
      </c>
      <c r="BX359">
        <v>10265</v>
      </c>
      <c r="BY359">
        <v>1176</v>
      </c>
    </row>
    <row r="360" spans="37:77" x14ac:dyDescent="0.3">
      <c r="AK360" s="70" t="s">
        <v>279</v>
      </c>
      <c r="AL360" s="72">
        <v>41183</v>
      </c>
      <c r="AM360"/>
      <c r="AW360" t="s">
        <v>7</v>
      </c>
      <c r="AX360" t="s">
        <v>13</v>
      </c>
      <c r="AY360" s="62">
        <v>38423</v>
      </c>
      <c r="AZ360">
        <v>10929</v>
      </c>
      <c r="BA360">
        <v>1174.75</v>
      </c>
      <c r="BU360" t="s">
        <v>7</v>
      </c>
      <c r="BV360" t="s">
        <v>13</v>
      </c>
      <c r="BW360" s="62">
        <v>38423</v>
      </c>
      <c r="BX360">
        <v>10929</v>
      </c>
      <c r="BY360">
        <v>1174.75</v>
      </c>
    </row>
    <row r="361" spans="37:77" x14ac:dyDescent="0.3">
      <c r="AK361" s="70" t="s">
        <v>286</v>
      </c>
      <c r="AL361" s="72">
        <v>41184</v>
      </c>
      <c r="AM361"/>
      <c r="AW361" t="s">
        <v>8</v>
      </c>
      <c r="AX361" t="s">
        <v>14</v>
      </c>
      <c r="AY361" s="62">
        <v>37860</v>
      </c>
      <c r="AZ361">
        <v>10284</v>
      </c>
      <c r="BA361">
        <v>1170.3699999999999</v>
      </c>
      <c r="BU361" t="s">
        <v>8</v>
      </c>
      <c r="BV361" t="s">
        <v>14</v>
      </c>
      <c r="BW361" s="62">
        <v>37860</v>
      </c>
      <c r="BX361">
        <v>10284</v>
      </c>
      <c r="BY361">
        <v>1170.3699999999999</v>
      </c>
    </row>
    <row r="362" spans="37:77" x14ac:dyDescent="0.3">
      <c r="AK362" s="70" t="s">
        <v>280</v>
      </c>
      <c r="AL362" s="72">
        <v>41185</v>
      </c>
      <c r="AM362"/>
      <c r="AW362" t="s">
        <v>8</v>
      </c>
      <c r="AX362" t="s">
        <v>14</v>
      </c>
      <c r="AY362" s="62">
        <v>37911</v>
      </c>
      <c r="AZ362">
        <v>10328</v>
      </c>
      <c r="BA362">
        <v>1168</v>
      </c>
      <c r="BU362" t="s">
        <v>8</v>
      </c>
      <c r="BV362" t="s">
        <v>14</v>
      </c>
      <c r="BW362" s="62">
        <v>37911</v>
      </c>
      <c r="BX362">
        <v>10328</v>
      </c>
      <c r="BY362">
        <v>1168</v>
      </c>
    </row>
    <row r="363" spans="37:77" x14ac:dyDescent="0.3">
      <c r="AK363" s="70" t="s">
        <v>281</v>
      </c>
      <c r="AL363" s="72">
        <v>41186</v>
      </c>
      <c r="AM363"/>
      <c r="AW363" t="s">
        <v>8</v>
      </c>
      <c r="AX363" t="s">
        <v>287</v>
      </c>
      <c r="AY363" s="62">
        <v>37957</v>
      </c>
      <c r="AZ363">
        <v>10357</v>
      </c>
      <c r="BA363">
        <v>1167.68</v>
      </c>
      <c r="BU363" t="s">
        <v>8</v>
      </c>
      <c r="BV363" t="s">
        <v>287</v>
      </c>
      <c r="BW363" s="62">
        <v>37957</v>
      </c>
      <c r="BX363">
        <v>10357</v>
      </c>
      <c r="BY363">
        <v>1167.68</v>
      </c>
    </row>
    <row r="364" spans="37:77" x14ac:dyDescent="0.3">
      <c r="AK364" s="70" t="s">
        <v>282</v>
      </c>
      <c r="AL364" s="72">
        <v>41187</v>
      </c>
      <c r="AM364"/>
      <c r="AW364" t="s">
        <v>7</v>
      </c>
      <c r="AX364" t="s">
        <v>16</v>
      </c>
      <c r="AY364" s="62">
        <v>38144</v>
      </c>
      <c r="AZ364">
        <v>10557</v>
      </c>
      <c r="BA364">
        <v>1152.5</v>
      </c>
      <c r="BU364" t="s">
        <v>7</v>
      </c>
      <c r="BV364" t="s">
        <v>16</v>
      </c>
      <c r="BW364" s="62">
        <v>38144</v>
      </c>
      <c r="BX364">
        <v>10557</v>
      </c>
      <c r="BY364">
        <v>1152.5</v>
      </c>
    </row>
    <row r="365" spans="37:77" x14ac:dyDescent="0.3">
      <c r="AK365" s="70" t="s">
        <v>283</v>
      </c>
      <c r="AL365" s="72">
        <v>41188</v>
      </c>
      <c r="AM365"/>
      <c r="AW365" t="s">
        <v>8</v>
      </c>
      <c r="AX365" t="s">
        <v>14</v>
      </c>
      <c r="AY365" s="62">
        <v>38122</v>
      </c>
      <c r="AZ365">
        <v>10526</v>
      </c>
      <c r="BA365">
        <v>1151.4000000000001</v>
      </c>
      <c r="BU365" t="s">
        <v>8</v>
      </c>
      <c r="BV365" t="s">
        <v>14</v>
      </c>
      <c r="BW365" s="62">
        <v>38122</v>
      </c>
      <c r="BX365">
        <v>10526</v>
      </c>
      <c r="BY365">
        <v>1151.4000000000001</v>
      </c>
    </row>
    <row r="366" spans="37:77" x14ac:dyDescent="0.3">
      <c r="AK366" s="70" t="s">
        <v>284</v>
      </c>
      <c r="AL366" s="72">
        <v>41189</v>
      </c>
      <c r="AM366"/>
      <c r="AW366" t="s">
        <v>8</v>
      </c>
      <c r="AX366" t="s">
        <v>15</v>
      </c>
      <c r="AY366" s="62">
        <v>38365</v>
      </c>
      <c r="AZ366">
        <v>10820</v>
      </c>
      <c r="BA366">
        <v>1140</v>
      </c>
      <c r="BU366" t="s">
        <v>8</v>
      </c>
      <c r="BV366" t="s">
        <v>15</v>
      </c>
      <c r="BW366" s="62">
        <v>38365</v>
      </c>
      <c r="BX366">
        <v>10820</v>
      </c>
      <c r="BY366">
        <v>1140</v>
      </c>
    </row>
    <row r="367" spans="37:77" x14ac:dyDescent="0.3">
      <c r="AK367" s="70" t="s">
        <v>285</v>
      </c>
      <c r="AL367" s="72">
        <v>41190</v>
      </c>
      <c r="AM367"/>
      <c r="AW367" t="s">
        <v>8</v>
      </c>
      <c r="AX367" t="s">
        <v>14</v>
      </c>
      <c r="AY367" s="62">
        <v>38199</v>
      </c>
      <c r="AZ367">
        <v>10606</v>
      </c>
      <c r="BA367">
        <v>1130.4000000000001</v>
      </c>
      <c r="BU367" t="s">
        <v>8</v>
      </c>
      <c r="BV367" t="s">
        <v>14</v>
      </c>
      <c r="BW367" s="62">
        <v>38199</v>
      </c>
      <c r="BX367">
        <v>10606</v>
      </c>
      <c r="BY367">
        <v>1130.4000000000001</v>
      </c>
    </row>
    <row r="368" spans="37:77" x14ac:dyDescent="0.3">
      <c r="AK368" s="70" t="s">
        <v>279</v>
      </c>
      <c r="AL368" s="72">
        <v>41191</v>
      </c>
      <c r="AM368"/>
      <c r="AW368" t="s">
        <v>8</v>
      </c>
      <c r="AX368" t="s">
        <v>18</v>
      </c>
      <c r="AY368" s="62">
        <v>38415</v>
      </c>
      <c r="AZ368">
        <v>10919</v>
      </c>
      <c r="BA368">
        <v>1122.8</v>
      </c>
      <c r="BU368" t="s">
        <v>8</v>
      </c>
      <c r="BV368" t="s">
        <v>18</v>
      </c>
      <c r="BW368" s="62">
        <v>38415</v>
      </c>
      <c r="BX368">
        <v>10919</v>
      </c>
      <c r="BY368">
        <v>1122.8</v>
      </c>
    </row>
    <row r="369" spans="37:77" x14ac:dyDescent="0.3">
      <c r="AK369" s="70" t="s">
        <v>286</v>
      </c>
      <c r="AL369" s="72">
        <v>41192</v>
      </c>
      <c r="AM369"/>
      <c r="AW369" t="s">
        <v>8</v>
      </c>
      <c r="AX369" t="s">
        <v>14</v>
      </c>
      <c r="AY369" s="62">
        <v>37824</v>
      </c>
      <c r="AZ369">
        <v>10257</v>
      </c>
      <c r="BA369">
        <v>1119.9000000000001</v>
      </c>
      <c r="BU369" t="s">
        <v>8</v>
      </c>
      <c r="BV369" t="s">
        <v>14</v>
      </c>
      <c r="BW369" s="62">
        <v>37824</v>
      </c>
      <c r="BX369">
        <v>10257</v>
      </c>
      <c r="BY369">
        <v>1119.9000000000001</v>
      </c>
    </row>
    <row r="370" spans="37:77" x14ac:dyDescent="0.3">
      <c r="AK370" s="70" t="s">
        <v>280</v>
      </c>
      <c r="AL370" s="72">
        <v>41193</v>
      </c>
      <c r="AM370"/>
      <c r="AW370" t="s">
        <v>8</v>
      </c>
      <c r="AX370" t="s">
        <v>289</v>
      </c>
      <c r="AY370" s="62">
        <v>38441</v>
      </c>
      <c r="AZ370">
        <v>10961</v>
      </c>
      <c r="BA370">
        <v>1119.9000000000001</v>
      </c>
      <c r="BU370" t="s">
        <v>8</v>
      </c>
      <c r="BV370" t="s">
        <v>289</v>
      </c>
      <c r="BW370" s="62">
        <v>38441</v>
      </c>
      <c r="BX370">
        <v>10961</v>
      </c>
      <c r="BY370">
        <v>1119.9000000000001</v>
      </c>
    </row>
    <row r="371" spans="37:77" x14ac:dyDescent="0.3">
      <c r="AK371" s="70" t="s">
        <v>281</v>
      </c>
      <c r="AL371" s="72">
        <v>41194</v>
      </c>
      <c r="AM371"/>
      <c r="AW371" t="s">
        <v>7</v>
      </c>
      <c r="AX371" t="s">
        <v>288</v>
      </c>
      <c r="AY371" s="62">
        <v>37882</v>
      </c>
      <c r="AZ371">
        <v>10303</v>
      </c>
      <c r="BA371">
        <v>1117.8</v>
      </c>
      <c r="BU371" t="s">
        <v>7</v>
      </c>
      <c r="BV371" t="s">
        <v>288</v>
      </c>
      <c r="BW371" s="62">
        <v>37882</v>
      </c>
      <c r="BX371">
        <v>10303</v>
      </c>
      <c r="BY371">
        <v>1117.8</v>
      </c>
    </row>
    <row r="372" spans="37:77" x14ac:dyDescent="0.3">
      <c r="AK372" s="70" t="s">
        <v>282</v>
      </c>
      <c r="AL372" s="72">
        <v>41195</v>
      </c>
      <c r="AM372"/>
      <c r="AW372" t="s">
        <v>7</v>
      </c>
      <c r="AX372" t="s">
        <v>13</v>
      </c>
      <c r="AY372" s="62">
        <v>37982</v>
      </c>
      <c r="AZ372">
        <v>10370</v>
      </c>
      <c r="BA372">
        <v>1117.5999999999999</v>
      </c>
      <c r="BU372" t="s">
        <v>7</v>
      </c>
      <c r="BV372" t="s">
        <v>13</v>
      </c>
      <c r="BW372" s="62">
        <v>37982</v>
      </c>
      <c r="BX372">
        <v>10370</v>
      </c>
      <c r="BY372">
        <v>1117.5999999999999</v>
      </c>
    </row>
    <row r="373" spans="37:77" x14ac:dyDescent="0.3">
      <c r="AK373" s="70" t="s">
        <v>283</v>
      </c>
      <c r="AL373" s="72">
        <v>41196</v>
      </c>
      <c r="AM373"/>
      <c r="AW373" t="s">
        <v>8</v>
      </c>
      <c r="AX373" t="s">
        <v>18</v>
      </c>
      <c r="AY373" s="62">
        <v>38375</v>
      </c>
      <c r="AZ373">
        <v>10846</v>
      </c>
      <c r="BA373">
        <v>1112</v>
      </c>
      <c r="BU373" t="s">
        <v>8</v>
      </c>
      <c r="BV373" t="s">
        <v>18</v>
      </c>
      <c r="BW373" s="62">
        <v>38375</v>
      </c>
      <c r="BX373">
        <v>10846</v>
      </c>
      <c r="BY373">
        <v>1112</v>
      </c>
    </row>
    <row r="374" spans="37:77" x14ac:dyDescent="0.3">
      <c r="AK374" s="70" t="s">
        <v>284</v>
      </c>
      <c r="AL374" s="72">
        <v>41197</v>
      </c>
      <c r="AM374"/>
      <c r="AW374" t="s">
        <v>7</v>
      </c>
      <c r="AX374" t="s">
        <v>13</v>
      </c>
      <c r="AY374" s="62">
        <v>37952</v>
      </c>
      <c r="AZ374">
        <v>10356</v>
      </c>
      <c r="BA374">
        <v>1106.4000000000001</v>
      </c>
      <c r="BU374" t="s">
        <v>7</v>
      </c>
      <c r="BV374" t="s">
        <v>13</v>
      </c>
      <c r="BW374" s="62">
        <v>37952</v>
      </c>
      <c r="BX374">
        <v>10356</v>
      </c>
      <c r="BY374">
        <v>1106.4000000000001</v>
      </c>
    </row>
    <row r="375" spans="37:77" x14ac:dyDescent="0.3">
      <c r="AK375" s="70" t="s">
        <v>285</v>
      </c>
      <c r="AL375" s="72">
        <v>41198</v>
      </c>
      <c r="AM375"/>
      <c r="AW375" t="s">
        <v>8</v>
      </c>
      <c r="AX375" t="s">
        <v>289</v>
      </c>
      <c r="AY375" s="62">
        <v>37835</v>
      </c>
      <c r="AZ375">
        <v>10268</v>
      </c>
      <c r="BA375">
        <v>1101.2</v>
      </c>
      <c r="BU375" t="s">
        <v>8</v>
      </c>
      <c r="BV375" t="s">
        <v>289</v>
      </c>
      <c r="BW375" s="62">
        <v>37835</v>
      </c>
      <c r="BX375">
        <v>10268</v>
      </c>
      <c r="BY375">
        <v>1101.2</v>
      </c>
    </row>
    <row r="376" spans="37:77" x14ac:dyDescent="0.3">
      <c r="AK376" s="70" t="s">
        <v>279</v>
      </c>
      <c r="AL376" s="72">
        <v>41199</v>
      </c>
      <c r="AM376"/>
      <c r="AW376" t="s">
        <v>8</v>
      </c>
      <c r="AX376" t="s">
        <v>14</v>
      </c>
      <c r="AY376" s="62">
        <v>38182</v>
      </c>
      <c r="AZ376">
        <v>10590</v>
      </c>
      <c r="BA376">
        <v>1101</v>
      </c>
      <c r="BU376" t="s">
        <v>8</v>
      </c>
      <c r="BV376" t="s">
        <v>14</v>
      </c>
      <c r="BW376" s="62">
        <v>38182</v>
      </c>
      <c r="BX376">
        <v>10590</v>
      </c>
      <c r="BY376">
        <v>1101</v>
      </c>
    </row>
    <row r="377" spans="37:77" x14ac:dyDescent="0.3">
      <c r="AK377" s="70" t="s">
        <v>286</v>
      </c>
      <c r="AL377" s="72">
        <v>41200</v>
      </c>
      <c r="AM377"/>
      <c r="AW377" t="s">
        <v>8</v>
      </c>
      <c r="AX377" t="s">
        <v>14</v>
      </c>
      <c r="AY377" s="62">
        <v>38450</v>
      </c>
      <c r="AZ377">
        <v>10966</v>
      </c>
      <c r="BA377">
        <v>1098.46</v>
      </c>
      <c r="BU377" t="s">
        <v>8</v>
      </c>
      <c r="BV377" t="s">
        <v>14</v>
      </c>
      <c r="BW377" s="62">
        <v>38450</v>
      </c>
      <c r="BX377">
        <v>10966</v>
      </c>
      <c r="BY377">
        <v>1098.46</v>
      </c>
    </row>
    <row r="378" spans="37:77" x14ac:dyDescent="0.3">
      <c r="AK378" s="70" t="s">
        <v>280</v>
      </c>
      <c r="AL378" s="72">
        <v>41201</v>
      </c>
      <c r="AM378"/>
      <c r="AW378" t="s">
        <v>7</v>
      </c>
      <c r="AX378" t="s">
        <v>17</v>
      </c>
      <c r="AY378" s="62">
        <v>38395</v>
      </c>
      <c r="AZ378">
        <v>10866</v>
      </c>
      <c r="BA378">
        <v>1096.2</v>
      </c>
      <c r="BU378" t="s">
        <v>7</v>
      </c>
      <c r="BV378" t="s">
        <v>17</v>
      </c>
      <c r="BW378" s="62">
        <v>38395</v>
      </c>
      <c r="BX378">
        <v>10866</v>
      </c>
      <c r="BY378">
        <v>1096.2</v>
      </c>
    </row>
    <row r="379" spans="37:77" x14ac:dyDescent="0.3">
      <c r="AK379" s="70" t="s">
        <v>281</v>
      </c>
      <c r="AL379" s="72">
        <v>41202</v>
      </c>
      <c r="AM379"/>
      <c r="AW379" t="s">
        <v>8</v>
      </c>
      <c r="AX379" t="s">
        <v>287</v>
      </c>
      <c r="AY379" s="62">
        <v>38249</v>
      </c>
      <c r="AZ379">
        <v>10653</v>
      </c>
      <c r="BA379">
        <v>1083.1500000000001</v>
      </c>
      <c r="BU379" t="s">
        <v>8</v>
      </c>
      <c r="BV379" t="s">
        <v>287</v>
      </c>
      <c r="BW379" s="62">
        <v>38249</v>
      </c>
      <c r="BX379">
        <v>10653</v>
      </c>
      <c r="BY379">
        <v>1083.1500000000001</v>
      </c>
    </row>
    <row r="380" spans="37:77" x14ac:dyDescent="0.3">
      <c r="AK380" s="70" t="s">
        <v>282</v>
      </c>
      <c r="AL380" s="72">
        <v>41203</v>
      </c>
      <c r="AM380"/>
      <c r="AW380" t="s">
        <v>8</v>
      </c>
      <c r="AX380" t="s">
        <v>14</v>
      </c>
      <c r="AY380" s="62">
        <v>38340</v>
      </c>
      <c r="AZ380">
        <v>10749</v>
      </c>
      <c r="BA380">
        <v>1080</v>
      </c>
      <c r="BU380" t="s">
        <v>8</v>
      </c>
      <c r="BV380" t="s">
        <v>14</v>
      </c>
      <c r="BW380" s="62">
        <v>38340</v>
      </c>
      <c r="BX380">
        <v>10749</v>
      </c>
      <c r="BY380">
        <v>1080</v>
      </c>
    </row>
    <row r="381" spans="37:77" x14ac:dyDescent="0.3">
      <c r="AK381" s="70" t="s">
        <v>283</v>
      </c>
      <c r="AL381" s="72">
        <v>41204</v>
      </c>
      <c r="AM381"/>
      <c r="AW381" t="s">
        <v>8</v>
      </c>
      <c r="AX381" t="s">
        <v>287</v>
      </c>
      <c r="AY381" s="62">
        <v>38385</v>
      </c>
      <c r="AZ381">
        <v>10859</v>
      </c>
      <c r="BA381">
        <v>1078.69</v>
      </c>
      <c r="BU381" t="s">
        <v>8</v>
      </c>
      <c r="BV381" t="s">
        <v>287</v>
      </c>
      <c r="BW381" s="62">
        <v>38385</v>
      </c>
      <c r="BX381">
        <v>10859</v>
      </c>
      <c r="BY381">
        <v>1078.69</v>
      </c>
    </row>
    <row r="382" spans="37:77" x14ac:dyDescent="0.3">
      <c r="AK382" s="70" t="s">
        <v>284</v>
      </c>
      <c r="AL382" s="72">
        <v>41205</v>
      </c>
      <c r="AM382"/>
      <c r="AW382" t="s">
        <v>7</v>
      </c>
      <c r="AX382" t="s">
        <v>13</v>
      </c>
      <c r="AY382" s="62">
        <v>38027</v>
      </c>
      <c r="AZ382">
        <v>10439</v>
      </c>
      <c r="BA382">
        <v>1078</v>
      </c>
      <c r="BU382" t="s">
        <v>7</v>
      </c>
      <c r="BV382" t="s">
        <v>13</v>
      </c>
      <c r="BW382" s="62">
        <v>38027</v>
      </c>
      <c r="BX382">
        <v>10439</v>
      </c>
      <c r="BY382">
        <v>1078</v>
      </c>
    </row>
    <row r="383" spans="37:77" x14ac:dyDescent="0.3">
      <c r="AK383" s="70" t="s">
        <v>285</v>
      </c>
      <c r="AL383" s="72">
        <v>41206</v>
      </c>
      <c r="AM383"/>
      <c r="AW383" t="s">
        <v>8</v>
      </c>
      <c r="AX383" t="s">
        <v>289</v>
      </c>
      <c r="AY383" s="62">
        <v>38147</v>
      </c>
      <c r="AZ383">
        <v>10560</v>
      </c>
      <c r="BA383">
        <v>1072.42</v>
      </c>
      <c r="BU383" t="s">
        <v>8</v>
      </c>
      <c r="BV383" t="s">
        <v>289</v>
      </c>
      <c r="BW383" s="62">
        <v>38147</v>
      </c>
      <c r="BX383">
        <v>10560</v>
      </c>
      <c r="BY383">
        <v>1072.42</v>
      </c>
    </row>
    <row r="384" spans="37:77" x14ac:dyDescent="0.3">
      <c r="AK384" s="70" t="s">
        <v>279</v>
      </c>
      <c r="AL384" s="72">
        <v>41207</v>
      </c>
      <c r="AM384"/>
      <c r="AW384" t="s">
        <v>7</v>
      </c>
      <c r="AX384" t="s">
        <v>16</v>
      </c>
      <c r="AY384" s="62">
        <v>38375</v>
      </c>
      <c r="AZ384">
        <v>10837</v>
      </c>
      <c r="BA384">
        <v>1064.5</v>
      </c>
      <c r="BU384" t="s">
        <v>7</v>
      </c>
      <c r="BV384" t="s">
        <v>16</v>
      </c>
      <c r="BW384" s="62">
        <v>38375</v>
      </c>
      <c r="BX384">
        <v>10837</v>
      </c>
      <c r="BY384">
        <v>1064.5</v>
      </c>
    </row>
    <row r="385" spans="37:77" x14ac:dyDescent="0.3">
      <c r="AK385" s="70" t="s">
        <v>286</v>
      </c>
      <c r="AL385" s="72">
        <v>41208</v>
      </c>
      <c r="AM385"/>
      <c r="AW385" t="s">
        <v>8</v>
      </c>
      <c r="AX385" t="s">
        <v>14</v>
      </c>
      <c r="AY385" s="62">
        <v>38200</v>
      </c>
      <c r="AZ385">
        <v>10608</v>
      </c>
      <c r="BA385">
        <v>1064</v>
      </c>
      <c r="BU385" t="s">
        <v>8</v>
      </c>
      <c r="BV385" t="s">
        <v>14</v>
      </c>
      <c r="BW385" s="62">
        <v>38200</v>
      </c>
      <c r="BX385">
        <v>10608</v>
      </c>
      <c r="BY385">
        <v>1064</v>
      </c>
    </row>
    <row r="386" spans="37:77" x14ac:dyDescent="0.3">
      <c r="AK386" s="70" t="s">
        <v>280</v>
      </c>
      <c r="AL386" s="72">
        <v>41209</v>
      </c>
      <c r="AM386"/>
      <c r="AW386" t="s">
        <v>8</v>
      </c>
      <c r="AX386" t="s">
        <v>287</v>
      </c>
      <c r="AY386" s="62">
        <v>37975</v>
      </c>
      <c r="AZ386">
        <v>10387</v>
      </c>
      <c r="BA386">
        <v>1058.4000000000001</v>
      </c>
      <c r="BU386" t="s">
        <v>8</v>
      </c>
      <c r="BV386" t="s">
        <v>287</v>
      </c>
      <c r="BW386" s="62">
        <v>37975</v>
      </c>
      <c r="BX386">
        <v>10387</v>
      </c>
      <c r="BY386">
        <v>1058.4000000000001</v>
      </c>
    </row>
    <row r="387" spans="37:77" x14ac:dyDescent="0.3">
      <c r="AK387" s="70" t="s">
        <v>281</v>
      </c>
      <c r="AL387" s="72">
        <v>41210</v>
      </c>
      <c r="AM387"/>
      <c r="AW387" t="s">
        <v>7</v>
      </c>
      <c r="AX387" t="s">
        <v>13</v>
      </c>
      <c r="AY387" s="62">
        <v>37875</v>
      </c>
      <c r="AZ387">
        <v>10296</v>
      </c>
      <c r="BA387">
        <v>1050.5999999999999</v>
      </c>
      <c r="BU387" t="s">
        <v>7</v>
      </c>
      <c r="BV387" t="s">
        <v>13</v>
      </c>
      <c r="BW387" s="62">
        <v>37875</v>
      </c>
      <c r="BX387">
        <v>10296</v>
      </c>
      <c r="BY387">
        <v>1050.5999999999999</v>
      </c>
    </row>
    <row r="388" spans="37:77" x14ac:dyDescent="0.3">
      <c r="AK388" s="70" t="s">
        <v>282</v>
      </c>
      <c r="AL388" s="72">
        <v>41211</v>
      </c>
      <c r="AM388"/>
      <c r="AW388" t="s">
        <v>8</v>
      </c>
      <c r="AX388" t="s">
        <v>289</v>
      </c>
      <c r="AY388" s="62">
        <v>38065</v>
      </c>
      <c r="AZ388">
        <v>10472</v>
      </c>
      <c r="BA388">
        <v>1036.8</v>
      </c>
      <c r="BU388" t="s">
        <v>8</v>
      </c>
      <c r="BV388" t="s">
        <v>289</v>
      </c>
      <c r="BW388" s="62">
        <v>38065</v>
      </c>
      <c r="BX388">
        <v>10472</v>
      </c>
      <c r="BY388">
        <v>1036.8</v>
      </c>
    </row>
    <row r="389" spans="37:77" x14ac:dyDescent="0.3">
      <c r="AK389" s="70" t="s">
        <v>283</v>
      </c>
      <c r="AL389" s="72">
        <v>41212</v>
      </c>
      <c r="AM389"/>
      <c r="AW389" t="s">
        <v>8</v>
      </c>
      <c r="AX389" t="s">
        <v>15</v>
      </c>
      <c r="AY389" s="62">
        <v>38038</v>
      </c>
      <c r="AZ389">
        <v>10444</v>
      </c>
      <c r="BA389">
        <v>1031.7</v>
      </c>
      <c r="BU389" t="s">
        <v>8</v>
      </c>
      <c r="BV389" t="s">
        <v>15</v>
      </c>
      <c r="BW389" s="62">
        <v>38038</v>
      </c>
      <c r="BX389">
        <v>10444</v>
      </c>
      <c r="BY389">
        <v>1031.7</v>
      </c>
    </row>
    <row r="390" spans="37:77" x14ac:dyDescent="0.3">
      <c r="AK390" s="70" t="s">
        <v>284</v>
      </c>
      <c r="AL390" s="72">
        <v>41213</v>
      </c>
      <c r="AM390"/>
      <c r="AW390" t="s">
        <v>8</v>
      </c>
      <c r="AX390" t="s">
        <v>287</v>
      </c>
      <c r="AY390" s="62">
        <v>38366</v>
      </c>
      <c r="AZ390">
        <v>10825</v>
      </c>
      <c r="BA390">
        <v>1030.76</v>
      </c>
      <c r="BU390" t="s">
        <v>8</v>
      </c>
      <c r="BV390" t="s">
        <v>287</v>
      </c>
      <c r="BW390" s="62">
        <v>38366</v>
      </c>
      <c r="BX390">
        <v>10825</v>
      </c>
      <c r="BY390">
        <v>1030.76</v>
      </c>
    </row>
    <row r="391" spans="37:77" x14ac:dyDescent="0.3">
      <c r="AK391" s="70" t="s">
        <v>285</v>
      </c>
      <c r="AL391" s="72">
        <v>41214</v>
      </c>
      <c r="AM391"/>
      <c r="AW391" t="s">
        <v>8</v>
      </c>
      <c r="AX391" t="s">
        <v>14</v>
      </c>
      <c r="AY391" s="62">
        <v>38470</v>
      </c>
      <c r="AZ391">
        <v>11026</v>
      </c>
      <c r="BA391">
        <v>1030</v>
      </c>
      <c r="BU391" t="s">
        <v>8</v>
      </c>
      <c r="BV391" t="s">
        <v>14</v>
      </c>
      <c r="BW391" s="62">
        <v>38470</v>
      </c>
      <c r="BX391">
        <v>11026</v>
      </c>
      <c r="BY391">
        <v>1030</v>
      </c>
    </row>
    <row r="392" spans="37:77" x14ac:dyDescent="0.3">
      <c r="AK392" s="70" t="s">
        <v>279</v>
      </c>
      <c r="AL392" s="72">
        <v>41215</v>
      </c>
      <c r="AM392"/>
      <c r="AW392" t="s">
        <v>7</v>
      </c>
      <c r="AX392" t="s">
        <v>13</v>
      </c>
      <c r="AY392" s="62">
        <v>38424</v>
      </c>
      <c r="AZ392">
        <v>10944</v>
      </c>
      <c r="BA392">
        <v>1025.33</v>
      </c>
      <c r="BU392" t="s">
        <v>7</v>
      </c>
      <c r="BV392" t="s">
        <v>13</v>
      </c>
      <c r="BW392" s="62">
        <v>38424</v>
      </c>
      <c r="BX392">
        <v>10944</v>
      </c>
      <c r="BY392">
        <v>1025.33</v>
      </c>
    </row>
    <row r="393" spans="37:77" x14ac:dyDescent="0.3">
      <c r="AK393" s="70" t="s">
        <v>286</v>
      </c>
      <c r="AL393" s="72">
        <v>41216</v>
      </c>
      <c r="AM393"/>
      <c r="AW393" t="s">
        <v>7</v>
      </c>
      <c r="AX393" t="s">
        <v>13</v>
      </c>
      <c r="AY393" s="62">
        <v>38041</v>
      </c>
      <c r="AZ393">
        <v>10423</v>
      </c>
      <c r="BA393">
        <v>1020</v>
      </c>
      <c r="BU393" t="s">
        <v>7</v>
      </c>
      <c r="BV393" t="s">
        <v>13</v>
      </c>
      <c r="BW393" s="62">
        <v>38041</v>
      </c>
      <c r="BX393">
        <v>10423</v>
      </c>
      <c r="BY393">
        <v>1020</v>
      </c>
    </row>
    <row r="394" spans="37:77" x14ac:dyDescent="0.3">
      <c r="AK394" s="70" t="s">
        <v>280</v>
      </c>
      <c r="AL394" s="72">
        <v>41217</v>
      </c>
      <c r="AM394"/>
      <c r="AW394" t="s">
        <v>8</v>
      </c>
      <c r="AX394" t="s">
        <v>18</v>
      </c>
      <c r="AY394" s="62">
        <v>38450</v>
      </c>
      <c r="AZ394">
        <v>10982</v>
      </c>
      <c r="BA394">
        <v>1014</v>
      </c>
      <c r="BU394" t="s">
        <v>8</v>
      </c>
      <c r="BV394" t="s">
        <v>18</v>
      </c>
      <c r="BW394" s="62">
        <v>38450</v>
      </c>
      <c r="BX394">
        <v>10982</v>
      </c>
      <c r="BY394">
        <v>1014</v>
      </c>
    </row>
    <row r="395" spans="37:77" x14ac:dyDescent="0.3">
      <c r="AK395" s="70" t="s">
        <v>281</v>
      </c>
      <c r="AL395" s="72">
        <v>41218</v>
      </c>
      <c r="AM395"/>
      <c r="AW395" t="s">
        <v>8</v>
      </c>
      <c r="AX395" t="s">
        <v>14</v>
      </c>
      <c r="AY395" s="62">
        <v>38169</v>
      </c>
      <c r="AZ395">
        <v>10580</v>
      </c>
      <c r="BA395">
        <v>1013.74</v>
      </c>
      <c r="BU395" t="s">
        <v>8</v>
      </c>
      <c r="BV395" t="s">
        <v>14</v>
      </c>
      <c r="BW395" s="62">
        <v>38169</v>
      </c>
      <c r="BX395">
        <v>10580</v>
      </c>
      <c r="BY395">
        <v>1013.74</v>
      </c>
    </row>
    <row r="396" spans="37:77" x14ac:dyDescent="0.3">
      <c r="AK396" s="70" t="s">
        <v>282</v>
      </c>
      <c r="AL396" s="72">
        <v>41219</v>
      </c>
      <c r="AM396"/>
      <c r="AW396" t="s">
        <v>7</v>
      </c>
      <c r="AX396" t="s">
        <v>16</v>
      </c>
      <c r="AY396" s="62">
        <v>38312</v>
      </c>
      <c r="AZ396">
        <v>10736</v>
      </c>
      <c r="BA396">
        <v>997</v>
      </c>
      <c r="BU396" t="s">
        <v>7</v>
      </c>
      <c r="BV396" t="s">
        <v>16</v>
      </c>
      <c r="BW396" s="62">
        <v>38312</v>
      </c>
      <c r="BX396">
        <v>10736</v>
      </c>
      <c r="BY396">
        <v>997</v>
      </c>
    </row>
    <row r="397" spans="37:77" x14ac:dyDescent="0.3">
      <c r="AK397" s="70" t="s">
        <v>283</v>
      </c>
      <c r="AL397" s="72">
        <v>41220</v>
      </c>
      <c r="AM397"/>
      <c r="AW397" t="s">
        <v>8</v>
      </c>
      <c r="AX397" t="s">
        <v>289</v>
      </c>
      <c r="AY397" s="62">
        <v>38274</v>
      </c>
      <c r="AZ397">
        <v>10696</v>
      </c>
      <c r="BA397">
        <v>996</v>
      </c>
      <c r="BU397" t="s">
        <v>8</v>
      </c>
      <c r="BV397" t="s">
        <v>289</v>
      </c>
      <c r="BW397" s="62">
        <v>38274</v>
      </c>
      <c r="BX397">
        <v>10696</v>
      </c>
      <c r="BY397">
        <v>996</v>
      </c>
    </row>
    <row r="398" spans="37:77" x14ac:dyDescent="0.3">
      <c r="AK398" s="70" t="s">
        <v>284</v>
      </c>
      <c r="AL398" s="72">
        <v>41221</v>
      </c>
      <c r="AM398"/>
      <c r="AW398" t="s">
        <v>8</v>
      </c>
      <c r="AX398" t="s">
        <v>14</v>
      </c>
      <c r="AY398" s="62">
        <v>37908</v>
      </c>
      <c r="AZ398">
        <v>10326</v>
      </c>
      <c r="BA398">
        <v>982</v>
      </c>
      <c r="BU398" t="s">
        <v>8</v>
      </c>
      <c r="BV398" t="s">
        <v>14</v>
      </c>
      <c r="BW398" s="62">
        <v>37908</v>
      </c>
      <c r="BX398">
        <v>10326</v>
      </c>
      <c r="BY398">
        <v>982</v>
      </c>
    </row>
    <row r="399" spans="37:77" x14ac:dyDescent="0.3">
      <c r="AK399" s="70" t="s">
        <v>285</v>
      </c>
      <c r="AL399" s="72">
        <v>41222</v>
      </c>
      <c r="AM399"/>
      <c r="AW399" t="s">
        <v>8</v>
      </c>
      <c r="AX399" t="s">
        <v>18</v>
      </c>
      <c r="AY399" s="62">
        <v>38340</v>
      </c>
      <c r="AZ399">
        <v>10781</v>
      </c>
      <c r="BA399">
        <v>975.88</v>
      </c>
      <c r="BU399" t="s">
        <v>8</v>
      </c>
      <c r="BV399" t="s">
        <v>18</v>
      </c>
      <c r="BW399" s="62">
        <v>38340</v>
      </c>
      <c r="BX399">
        <v>10781</v>
      </c>
      <c r="BY399">
        <v>975.88</v>
      </c>
    </row>
    <row r="400" spans="37:77" x14ac:dyDescent="0.3">
      <c r="AK400" s="70" t="s">
        <v>279</v>
      </c>
      <c r="AL400" s="72">
        <v>41223</v>
      </c>
      <c r="AM400"/>
      <c r="AW400" t="s">
        <v>8</v>
      </c>
      <c r="AX400" t="s">
        <v>287</v>
      </c>
      <c r="AY400" s="62">
        <v>38381</v>
      </c>
      <c r="AZ400">
        <v>10842</v>
      </c>
      <c r="BA400">
        <v>975</v>
      </c>
      <c r="BU400" t="s">
        <v>8</v>
      </c>
      <c r="BV400" t="s">
        <v>287</v>
      </c>
      <c r="BW400" s="62">
        <v>38381</v>
      </c>
      <c r="BX400">
        <v>10842</v>
      </c>
      <c r="BY400">
        <v>975</v>
      </c>
    </row>
    <row r="401" spans="37:77" x14ac:dyDescent="0.3">
      <c r="AK401" s="70" t="s">
        <v>286</v>
      </c>
      <c r="AL401" s="72">
        <v>41224</v>
      </c>
      <c r="AM401"/>
      <c r="AW401" t="s">
        <v>7</v>
      </c>
      <c r="AX401" t="s">
        <v>16</v>
      </c>
      <c r="AY401" s="62">
        <v>38382</v>
      </c>
      <c r="AZ401">
        <v>10849</v>
      </c>
      <c r="BA401">
        <v>967.82</v>
      </c>
      <c r="BU401" t="s">
        <v>7</v>
      </c>
      <c r="BV401" t="s">
        <v>16</v>
      </c>
      <c r="BW401" s="62">
        <v>38382</v>
      </c>
      <c r="BX401">
        <v>10849</v>
      </c>
      <c r="BY401">
        <v>967.82</v>
      </c>
    </row>
    <row r="402" spans="37:77" x14ac:dyDescent="0.3">
      <c r="AK402" s="70" t="s">
        <v>280</v>
      </c>
      <c r="AL402" s="72">
        <v>41225</v>
      </c>
      <c r="AM402"/>
      <c r="AW402" t="s">
        <v>7</v>
      </c>
      <c r="AX402" t="s">
        <v>16</v>
      </c>
      <c r="AY402" s="62">
        <v>38007</v>
      </c>
      <c r="AZ402">
        <v>10411</v>
      </c>
      <c r="BA402">
        <v>966.8</v>
      </c>
      <c r="BU402" t="s">
        <v>7</v>
      </c>
      <c r="BV402" t="s">
        <v>16</v>
      </c>
      <c r="BW402" s="62">
        <v>38007</v>
      </c>
      <c r="BX402">
        <v>10411</v>
      </c>
      <c r="BY402">
        <v>966.8</v>
      </c>
    </row>
    <row r="403" spans="37:77" x14ac:dyDescent="0.3">
      <c r="AK403" s="70" t="s">
        <v>281</v>
      </c>
      <c r="AL403" s="72">
        <v>41226</v>
      </c>
      <c r="AM403"/>
      <c r="AW403" t="s">
        <v>8</v>
      </c>
      <c r="AX403" t="s">
        <v>18</v>
      </c>
      <c r="AY403" s="62">
        <v>38162</v>
      </c>
      <c r="AZ403">
        <v>10563</v>
      </c>
      <c r="BA403">
        <v>965</v>
      </c>
      <c r="BU403" t="s">
        <v>8</v>
      </c>
      <c r="BV403" t="s">
        <v>18</v>
      </c>
      <c r="BW403" s="62">
        <v>38162</v>
      </c>
      <c r="BX403">
        <v>10563</v>
      </c>
      <c r="BY403">
        <v>965</v>
      </c>
    </row>
    <row r="404" spans="37:77" x14ac:dyDescent="0.3">
      <c r="AK404" s="70" t="s">
        <v>282</v>
      </c>
      <c r="AL404" s="72">
        <v>41227</v>
      </c>
      <c r="AM404"/>
      <c r="AW404" t="s">
        <v>8</v>
      </c>
      <c r="AX404" t="s">
        <v>287</v>
      </c>
      <c r="AY404" s="62">
        <v>38060</v>
      </c>
      <c r="AZ404">
        <v>10469</v>
      </c>
      <c r="BA404">
        <v>956.67</v>
      </c>
      <c r="BU404" t="s">
        <v>8</v>
      </c>
      <c r="BV404" t="s">
        <v>287</v>
      </c>
      <c r="BW404" s="62">
        <v>38060</v>
      </c>
      <c r="BX404">
        <v>10469</v>
      </c>
      <c r="BY404">
        <v>956.67</v>
      </c>
    </row>
    <row r="405" spans="37:77" x14ac:dyDescent="0.3">
      <c r="AK405" s="70" t="s">
        <v>283</v>
      </c>
      <c r="AL405" s="72">
        <v>41228</v>
      </c>
      <c r="AM405"/>
      <c r="AW405" t="s">
        <v>8</v>
      </c>
      <c r="AX405" t="s">
        <v>287</v>
      </c>
      <c r="AY405" s="62">
        <v>37881</v>
      </c>
      <c r="AZ405">
        <v>10304</v>
      </c>
      <c r="BA405">
        <v>954.4</v>
      </c>
      <c r="BU405" t="s">
        <v>8</v>
      </c>
      <c r="BV405" t="s">
        <v>287</v>
      </c>
      <c r="BW405" s="62">
        <v>37881</v>
      </c>
      <c r="BX405">
        <v>10304</v>
      </c>
      <c r="BY405">
        <v>954.4</v>
      </c>
    </row>
    <row r="406" spans="37:77" x14ac:dyDescent="0.3">
      <c r="AK406" s="70" t="s">
        <v>284</v>
      </c>
      <c r="AL406" s="72">
        <v>41229</v>
      </c>
      <c r="AM406"/>
      <c r="AW406" t="s">
        <v>8</v>
      </c>
      <c r="AX406" t="s">
        <v>287</v>
      </c>
      <c r="AY406" s="62">
        <v>37959</v>
      </c>
      <c r="AZ406">
        <v>10364</v>
      </c>
      <c r="BA406">
        <v>950</v>
      </c>
      <c r="BU406" t="s">
        <v>8</v>
      </c>
      <c r="BV406" t="s">
        <v>287</v>
      </c>
      <c r="BW406" s="62">
        <v>37959</v>
      </c>
      <c r="BX406">
        <v>10364</v>
      </c>
      <c r="BY406">
        <v>950</v>
      </c>
    </row>
    <row r="407" spans="37:77" x14ac:dyDescent="0.3">
      <c r="AK407" s="70" t="s">
        <v>285</v>
      </c>
      <c r="AL407" s="72">
        <v>41230</v>
      </c>
      <c r="AM407"/>
      <c r="AW407" t="s">
        <v>7</v>
      </c>
      <c r="AX407" t="s">
        <v>17</v>
      </c>
      <c r="AY407" s="62">
        <v>38116</v>
      </c>
      <c r="AZ407">
        <v>10529</v>
      </c>
      <c r="BA407">
        <v>946</v>
      </c>
      <c r="BU407" t="s">
        <v>7</v>
      </c>
      <c r="BV407" t="s">
        <v>17</v>
      </c>
      <c r="BW407" s="62">
        <v>38116</v>
      </c>
      <c r="BX407">
        <v>10529</v>
      </c>
      <c r="BY407">
        <v>946</v>
      </c>
    </row>
    <row r="408" spans="37:77" x14ac:dyDescent="0.3">
      <c r="AK408" s="70" t="s">
        <v>279</v>
      </c>
      <c r="AL408" s="72">
        <v>41231</v>
      </c>
      <c r="AM408"/>
      <c r="AW408" t="s">
        <v>8</v>
      </c>
      <c r="AX408" t="s">
        <v>18</v>
      </c>
      <c r="AY408" s="62">
        <v>38451</v>
      </c>
      <c r="AZ408">
        <v>10994</v>
      </c>
      <c r="BA408">
        <v>940.5</v>
      </c>
      <c r="BU408" t="s">
        <v>8</v>
      </c>
      <c r="BV408" t="s">
        <v>18</v>
      </c>
      <c r="BW408" s="62">
        <v>38451</v>
      </c>
      <c r="BX408">
        <v>10994</v>
      </c>
      <c r="BY408">
        <v>940.5</v>
      </c>
    </row>
    <row r="409" spans="37:77" x14ac:dyDescent="0.3">
      <c r="AK409" s="70" t="s">
        <v>286</v>
      </c>
      <c r="AL409" s="72">
        <v>41232</v>
      </c>
      <c r="AM409"/>
      <c r="AW409" t="s">
        <v>8</v>
      </c>
      <c r="AX409" t="s">
        <v>14</v>
      </c>
      <c r="AY409" s="62">
        <v>38409</v>
      </c>
      <c r="AZ409">
        <v>10901</v>
      </c>
      <c r="BA409">
        <v>934.5</v>
      </c>
      <c r="BU409" t="s">
        <v>8</v>
      </c>
      <c r="BV409" t="s">
        <v>14</v>
      </c>
      <c r="BW409" s="62">
        <v>38409</v>
      </c>
      <c r="BX409">
        <v>10901</v>
      </c>
      <c r="BY409">
        <v>934.5</v>
      </c>
    </row>
    <row r="410" spans="37:77" x14ac:dyDescent="0.3">
      <c r="AK410" s="70" t="s">
        <v>280</v>
      </c>
      <c r="AL410" s="72">
        <v>41233</v>
      </c>
      <c r="AM410"/>
      <c r="AW410" t="s">
        <v>8</v>
      </c>
      <c r="AX410" t="s">
        <v>15</v>
      </c>
      <c r="AY410" s="62">
        <v>38455</v>
      </c>
      <c r="AZ410">
        <v>11011</v>
      </c>
      <c r="BA410">
        <v>933.5</v>
      </c>
      <c r="BU410" t="s">
        <v>8</v>
      </c>
      <c r="BV410" t="s">
        <v>15</v>
      </c>
      <c r="BW410" s="62">
        <v>38455</v>
      </c>
      <c r="BX410">
        <v>11011</v>
      </c>
      <c r="BY410">
        <v>933.5</v>
      </c>
    </row>
    <row r="411" spans="37:77" x14ac:dyDescent="0.3">
      <c r="AK411" s="70" t="s">
        <v>281</v>
      </c>
      <c r="AL411" s="72">
        <v>41234</v>
      </c>
      <c r="AM411"/>
      <c r="AW411" t="s">
        <v>8</v>
      </c>
      <c r="AX411" t="s">
        <v>15</v>
      </c>
      <c r="AY411" s="62">
        <v>38415</v>
      </c>
      <c r="AZ411">
        <v>10903</v>
      </c>
      <c r="BA411">
        <v>932.05</v>
      </c>
      <c r="BU411" t="s">
        <v>8</v>
      </c>
      <c r="BV411" t="s">
        <v>15</v>
      </c>
      <c r="BW411" s="62">
        <v>38415</v>
      </c>
      <c r="BX411">
        <v>10903</v>
      </c>
      <c r="BY411">
        <v>932.05</v>
      </c>
    </row>
    <row r="412" spans="37:77" x14ac:dyDescent="0.3">
      <c r="AK412" s="70" t="s">
        <v>282</v>
      </c>
      <c r="AL412" s="72">
        <v>41235</v>
      </c>
      <c r="AM412"/>
      <c r="AW412" t="s">
        <v>7</v>
      </c>
      <c r="AX412" t="s">
        <v>16</v>
      </c>
      <c r="AY412" s="62">
        <v>38387</v>
      </c>
      <c r="AZ412">
        <v>10828</v>
      </c>
      <c r="BA412">
        <v>932</v>
      </c>
      <c r="BU412" t="s">
        <v>7</v>
      </c>
      <c r="BV412" t="s">
        <v>16</v>
      </c>
      <c r="BW412" s="62">
        <v>38387</v>
      </c>
      <c r="BX412">
        <v>10828</v>
      </c>
      <c r="BY412">
        <v>932</v>
      </c>
    </row>
    <row r="413" spans="37:77" x14ac:dyDescent="0.3">
      <c r="AK413" s="70" t="s">
        <v>283</v>
      </c>
      <c r="AL413" s="72">
        <v>41236</v>
      </c>
      <c r="AM413"/>
      <c r="AW413" t="s">
        <v>7</v>
      </c>
      <c r="AX413" t="s">
        <v>288</v>
      </c>
      <c r="AY413" s="62">
        <v>38381</v>
      </c>
      <c r="AZ413">
        <v>10848</v>
      </c>
      <c r="BA413">
        <v>931.5</v>
      </c>
      <c r="BU413" t="s">
        <v>7</v>
      </c>
      <c r="BV413" t="s">
        <v>288</v>
      </c>
      <c r="BW413" s="62">
        <v>38381</v>
      </c>
      <c r="BX413">
        <v>10848</v>
      </c>
      <c r="BY413">
        <v>931.5</v>
      </c>
    </row>
    <row r="414" spans="37:77" x14ac:dyDescent="0.3">
      <c r="AK414" s="70" t="s">
        <v>284</v>
      </c>
      <c r="AL414" s="72">
        <v>41237</v>
      </c>
      <c r="AM414"/>
      <c r="AW414" t="s">
        <v>7</v>
      </c>
      <c r="AX414" t="s">
        <v>17</v>
      </c>
      <c r="AY414" s="62">
        <v>38291</v>
      </c>
      <c r="AZ414">
        <v>10721</v>
      </c>
      <c r="BA414">
        <v>923.87</v>
      </c>
      <c r="BU414" t="s">
        <v>7</v>
      </c>
      <c r="BV414" t="s">
        <v>17</v>
      </c>
      <c r="BW414" s="62">
        <v>38291</v>
      </c>
      <c r="BX414">
        <v>10721</v>
      </c>
      <c r="BY414">
        <v>923.87</v>
      </c>
    </row>
    <row r="415" spans="37:77" x14ac:dyDescent="0.3">
      <c r="AK415" s="70" t="s">
        <v>285</v>
      </c>
      <c r="AL415" s="72">
        <v>41238</v>
      </c>
      <c r="AM415"/>
      <c r="AW415" t="s">
        <v>7</v>
      </c>
      <c r="AX415" t="s">
        <v>13</v>
      </c>
      <c r="AY415" s="62">
        <v>38427</v>
      </c>
      <c r="AZ415">
        <v>10933</v>
      </c>
      <c r="BA415">
        <v>920.6</v>
      </c>
      <c r="BU415" t="s">
        <v>7</v>
      </c>
      <c r="BV415" t="s">
        <v>13</v>
      </c>
      <c r="BW415" s="62">
        <v>38427</v>
      </c>
      <c r="BX415">
        <v>10933</v>
      </c>
      <c r="BY415">
        <v>920.6</v>
      </c>
    </row>
    <row r="416" spans="37:77" x14ac:dyDescent="0.3">
      <c r="AK416" s="70" t="s">
        <v>279</v>
      </c>
      <c r="AL416" s="72">
        <v>41239</v>
      </c>
      <c r="AM416"/>
      <c r="AW416" t="s">
        <v>8</v>
      </c>
      <c r="AX416" t="s">
        <v>287</v>
      </c>
      <c r="AY416" s="62">
        <v>38254</v>
      </c>
      <c r="AZ416">
        <v>10671</v>
      </c>
      <c r="BA416">
        <v>920.1</v>
      </c>
      <c r="BU416" t="s">
        <v>8</v>
      </c>
      <c r="BV416" t="s">
        <v>287</v>
      </c>
      <c r="BW416" s="62">
        <v>38254</v>
      </c>
      <c r="BX416">
        <v>10671</v>
      </c>
      <c r="BY416">
        <v>920.1</v>
      </c>
    </row>
    <row r="417" spans="37:77" x14ac:dyDescent="0.3">
      <c r="AK417" s="70" t="s">
        <v>286</v>
      </c>
      <c r="AL417" s="72">
        <v>41240</v>
      </c>
      <c r="AM417"/>
      <c r="AW417" t="s">
        <v>7</v>
      </c>
      <c r="AX417" t="s">
        <v>288</v>
      </c>
      <c r="AY417" s="62">
        <v>38395</v>
      </c>
      <c r="AZ417">
        <v>10876</v>
      </c>
      <c r="BA417">
        <v>917</v>
      </c>
      <c r="BU417" t="s">
        <v>7</v>
      </c>
      <c r="BV417" t="s">
        <v>288</v>
      </c>
      <c r="BW417" s="62">
        <v>38395</v>
      </c>
      <c r="BX417">
        <v>10876</v>
      </c>
      <c r="BY417">
        <v>917</v>
      </c>
    </row>
    <row r="418" spans="37:77" x14ac:dyDescent="0.3">
      <c r="AK418" s="70" t="s">
        <v>280</v>
      </c>
      <c r="AL418" s="72">
        <v>41241</v>
      </c>
      <c r="AM418"/>
      <c r="AW418" t="s">
        <v>8</v>
      </c>
      <c r="AX418" t="s">
        <v>14</v>
      </c>
      <c r="AY418" s="62">
        <v>38053</v>
      </c>
      <c r="AZ418">
        <v>10447</v>
      </c>
      <c r="BA418">
        <v>914.4</v>
      </c>
      <c r="BU418" t="s">
        <v>8</v>
      </c>
      <c r="BV418" t="s">
        <v>14</v>
      </c>
      <c r="BW418" s="62">
        <v>38053</v>
      </c>
      <c r="BX418">
        <v>10447</v>
      </c>
      <c r="BY418">
        <v>914.4</v>
      </c>
    </row>
    <row r="419" spans="37:77" x14ac:dyDescent="0.3">
      <c r="AK419" s="70" t="s">
        <v>281</v>
      </c>
      <c r="AL419" s="72">
        <v>41242</v>
      </c>
      <c r="AM419"/>
      <c r="AW419" t="s">
        <v>8</v>
      </c>
      <c r="AX419" t="s">
        <v>14</v>
      </c>
      <c r="AY419" s="62">
        <v>38086</v>
      </c>
      <c r="AZ419">
        <v>10494</v>
      </c>
      <c r="BA419">
        <v>912</v>
      </c>
      <c r="BU419" t="s">
        <v>8</v>
      </c>
      <c r="BV419" t="s">
        <v>14</v>
      </c>
      <c r="BW419" s="62">
        <v>38086</v>
      </c>
      <c r="BX419">
        <v>10494</v>
      </c>
      <c r="BY419">
        <v>912</v>
      </c>
    </row>
    <row r="420" spans="37:77" x14ac:dyDescent="0.3">
      <c r="AK420" s="70" t="s">
        <v>282</v>
      </c>
      <c r="AL420" s="72">
        <v>41243</v>
      </c>
      <c r="AM420"/>
      <c r="AW420" t="s">
        <v>8</v>
      </c>
      <c r="AX420" t="s">
        <v>287</v>
      </c>
      <c r="AY420" s="62">
        <v>38445</v>
      </c>
      <c r="AZ420">
        <v>10976</v>
      </c>
      <c r="BA420">
        <v>912</v>
      </c>
      <c r="BU420" t="s">
        <v>8</v>
      </c>
      <c r="BV420" t="s">
        <v>287</v>
      </c>
      <c r="BW420" s="62">
        <v>38445</v>
      </c>
      <c r="BX420">
        <v>10976</v>
      </c>
      <c r="BY420">
        <v>912</v>
      </c>
    </row>
    <row r="421" spans="37:77" x14ac:dyDescent="0.3">
      <c r="AK421" s="70" t="s">
        <v>283</v>
      </c>
      <c r="AL421" s="72">
        <v>41244</v>
      </c>
      <c r="AM421"/>
      <c r="AW421" t="s">
        <v>8</v>
      </c>
      <c r="AX421" t="s">
        <v>18</v>
      </c>
      <c r="AY421" s="62">
        <v>38444</v>
      </c>
      <c r="AZ421">
        <v>10967</v>
      </c>
      <c r="BA421">
        <v>910.4</v>
      </c>
      <c r="BU421" t="s">
        <v>8</v>
      </c>
      <c r="BV421" t="s">
        <v>18</v>
      </c>
      <c r="BW421" s="62">
        <v>38444</v>
      </c>
      <c r="BX421">
        <v>10967</v>
      </c>
      <c r="BY421">
        <v>910.4</v>
      </c>
    </row>
    <row r="422" spans="37:77" x14ac:dyDescent="0.3">
      <c r="AK422" s="70" t="s">
        <v>284</v>
      </c>
      <c r="AL422" s="72">
        <v>41245</v>
      </c>
      <c r="AM422"/>
      <c r="AW422" t="s">
        <v>7</v>
      </c>
      <c r="AX422" t="s">
        <v>13</v>
      </c>
      <c r="AY422" s="62">
        <v>38375</v>
      </c>
      <c r="AZ422">
        <v>10833</v>
      </c>
      <c r="BA422">
        <v>906.93</v>
      </c>
      <c r="BU422" t="s">
        <v>7</v>
      </c>
      <c r="BV422" t="s">
        <v>13</v>
      </c>
      <c r="BW422" s="62">
        <v>38375</v>
      </c>
      <c r="BX422">
        <v>10833</v>
      </c>
      <c r="BY422">
        <v>906.93</v>
      </c>
    </row>
    <row r="423" spans="37:77" x14ac:dyDescent="0.3">
      <c r="AK423" s="70" t="s">
        <v>285</v>
      </c>
      <c r="AL423" s="72">
        <v>41246</v>
      </c>
      <c r="AM423"/>
      <c r="AW423" t="s">
        <v>8</v>
      </c>
      <c r="AX423" t="s">
        <v>18</v>
      </c>
      <c r="AY423" s="62">
        <v>38456</v>
      </c>
      <c r="AZ423">
        <v>11000</v>
      </c>
      <c r="BA423">
        <v>903.75</v>
      </c>
      <c r="BU423" t="s">
        <v>8</v>
      </c>
      <c r="BV423" t="s">
        <v>18</v>
      </c>
      <c r="BW423" s="62">
        <v>38456</v>
      </c>
      <c r="BX423">
        <v>11000</v>
      </c>
      <c r="BY423">
        <v>903.75</v>
      </c>
    </row>
    <row r="424" spans="37:77" x14ac:dyDescent="0.3">
      <c r="AK424" s="70" t="s">
        <v>279</v>
      </c>
      <c r="AL424" s="72">
        <v>41247</v>
      </c>
      <c r="AM424"/>
      <c r="AW424" t="s">
        <v>8</v>
      </c>
      <c r="AX424" t="s">
        <v>287</v>
      </c>
      <c r="AY424" s="62">
        <v>38218</v>
      </c>
      <c r="AZ424">
        <v>10630</v>
      </c>
      <c r="BA424">
        <v>903.6</v>
      </c>
      <c r="BU424" t="s">
        <v>8</v>
      </c>
      <c r="BV424" t="s">
        <v>287</v>
      </c>
      <c r="BW424" s="62">
        <v>38218</v>
      </c>
      <c r="BX424">
        <v>10630</v>
      </c>
      <c r="BY424">
        <v>903.6</v>
      </c>
    </row>
    <row r="425" spans="37:77" x14ac:dyDescent="0.3">
      <c r="AK425" s="70" t="s">
        <v>286</v>
      </c>
      <c r="AL425" s="72">
        <v>41248</v>
      </c>
      <c r="AM425"/>
      <c r="AW425" t="s">
        <v>8</v>
      </c>
      <c r="AX425" t="s">
        <v>289</v>
      </c>
      <c r="AY425" s="62">
        <v>37973</v>
      </c>
      <c r="AZ425">
        <v>10383</v>
      </c>
      <c r="BA425">
        <v>899</v>
      </c>
      <c r="BU425" t="s">
        <v>8</v>
      </c>
      <c r="BV425" t="s">
        <v>289</v>
      </c>
      <c r="BW425" s="62">
        <v>37973</v>
      </c>
      <c r="BX425">
        <v>10383</v>
      </c>
      <c r="BY425">
        <v>899</v>
      </c>
    </row>
    <row r="426" spans="37:77" x14ac:dyDescent="0.3">
      <c r="AK426" s="70" t="s">
        <v>280</v>
      </c>
      <c r="AL426" s="72">
        <v>41249</v>
      </c>
      <c r="AM426"/>
      <c r="AW426" t="s">
        <v>8</v>
      </c>
      <c r="AX426" t="s">
        <v>14</v>
      </c>
      <c r="AY426" s="62">
        <v>38403</v>
      </c>
      <c r="AZ426">
        <v>10882</v>
      </c>
      <c r="BA426">
        <v>892.64</v>
      </c>
      <c r="BU426" t="s">
        <v>8</v>
      </c>
      <c r="BV426" t="s">
        <v>14</v>
      </c>
      <c r="BW426" s="62">
        <v>38403</v>
      </c>
      <c r="BX426">
        <v>10882</v>
      </c>
      <c r="BY426">
        <v>892.64</v>
      </c>
    </row>
    <row r="427" spans="37:77" x14ac:dyDescent="0.3">
      <c r="AK427" s="70" t="s">
        <v>281</v>
      </c>
      <c r="AL427" s="72">
        <v>41250</v>
      </c>
      <c r="AM427"/>
      <c r="AW427" t="s">
        <v>7</v>
      </c>
      <c r="AX427" t="s">
        <v>17</v>
      </c>
      <c r="AY427" s="62">
        <v>38179</v>
      </c>
      <c r="AZ427">
        <v>10569</v>
      </c>
      <c r="BA427">
        <v>890</v>
      </c>
      <c r="BU427" t="s">
        <v>7</v>
      </c>
      <c r="BV427" t="s">
        <v>17</v>
      </c>
      <c r="BW427" s="62">
        <v>38179</v>
      </c>
      <c r="BX427">
        <v>10569</v>
      </c>
      <c r="BY427">
        <v>890</v>
      </c>
    </row>
    <row r="428" spans="37:77" x14ac:dyDescent="0.3">
      <c r="AK428" s="70" t="s">
        <v>282</v>
      </c>
      <c r="AL428" s="72">
        <v>41251</v>
      </c>
      <c r="AM428"/>
      <c r="AW428" t="s">
        <v>8</v>
      </c>
      <c r="AX428" t="s">
        <v>18</v>
      </c>
      <c r="AY428" s="62">
        <v>38074</v>
      </c>
      <c r="AZ428">
        <v>10487</v>
      </c>
      <c r="BA428">
        <v>889.7</v>
      </c>
      <c r="BU428" t="s">
        <v>8</v>
      </c>
      <c r="BV428" t="s">
        <v>18</v>
      </c>
      <c r="BW428" s="62">
        <v>38074</v>
      </c>
      <c r="BX428">
        <v>10487</v>
      </c>
      <c r="BY428">
        <v>889.7</v>
      </c>
    </row>
    <row r="429" spans="37:77" x14ac:dyDescent="0.3">
      <c r="AK429" s="70" t="s">
        <v>283</v>
      </c>
      <c r="AL429" s="72">
        <v>41252</v>
      </c>
      <c r="AM429"/>
      <c r="AW429" t="s">
        <v>8</v>
      </c>
      <c r="AX429" t="s">
        <v>18</v>
      </c>
      <c r="AY429" s="62">
        <v>38143</v>
      </c>
      <c r="AZ429">
        <v>10552</v>
      </c>
      <c r="BA429">
        <v>880.5</v>
      </c>
      <c r="BU429" t="s">
        <v>8</v>
      </c>
      <c r="BV429" t="s">
        <v>18</v>
      </c>
      <c r="BW429" s="62">
        <v>38143</v>
      </c>
      <c r="BX429">
        <v>10552</v>
      </c>
      <c r="BY429">
        <v>880.5</v>
      </c>
    </row>
    <row r="430" spans="37:77" x14ac:dyDescent="0.3">
      <c r="AK430" s="70" t="s">
        <v>284</v>
      </c>
      <c r="AL430" s="72">
        <v>41253</v>
      </c>
      <c r="AM430"/>
      <c r="AW430" t="s">
        <v>8</v>
      </c>
      <c r="AX430" t="s">
        <v>14</v>
      </c>
      <c r="AY430" s="62">
        <v>38273</v>
      </c>
      <c r="AZ430">
        <v>10692</v>
      </c>
      <c r="BA430">
        <v>878</v>
      </c>
      <c r="BU430" t="s">
        <v>8</v>
      </c>
      <c r="BV430" t="s">
        <v>14</v>
      </c>
      <c r="BW430" s="62">
        <v>38273</v>
      </c>
      <c r="BX430">
        <v>10692</v>
      </c>
      <c r="BY430">
        <v>878</v>
      </c>
    </row>
    <row r="431" spans="37:77" x14ac:dyDescent="0.3">
      <c r="AK431" s="70" t="s">
        <v>285</v>
      </c>
      <c r="AL431" s="72">
        <v>41254</v>
      </c>
      <c r="AM431"/>
      <c r="AW431" t="s">
        <v>8</v>
      </c>
      <c r="AX431" t="s">
        <v>287</v>
      </c>
      <c r="AY431" s="62">
        <v>38462</v>
      </c>
      <c r="AZ431">
        <v>11027</v>
      </c>
      <c r="BA431">
        <v>877.72</v>
      </c>
      <c r="BU431" t="s">
        <v>8</v>
      </c>
      <c r="BV431" t="s">
        <v>287</v>
      </c>
      <c r="BW431" s="62">
        <v>38462</v>
      </c>
      <c r="BX431">
        <v>11027</v>
      </c>
      <c r="BY431">
        <v>877.72</v>
      </c>
    </row>
    <row r="432" spans="37:77" x14ac:dyDescent="0.3">
      <c r="AK432" s="70" t="s">
        <v>279</v>
      </c>
      <c r="AL432" s="72">
        <v>41255</v>
      </c>
      <c r="AM432"/>
      <c r="AW432" t="s">
        <v>7</v>
      </c>
      <c r="AX432" t="s">
        <v>17</v>
      </c>
      <c r="AY432" s="62">
        <v>37919</v>
      </c>
      <c r="AZ432">
        <v>10333</v>
      </c>
      <c r="BA432">
        <v>877.2</v>
      </c>
      <c r="BU432" t="s">
        <v>7</v>
      </c>
      <c r="BV432" t="s">
        <v>17</v>
      </c>
      <c r="BW432" s="62">
        <v>37919</v>
      </c>
      <c r="BX432">
        <v>10333</v>
      </c>
      <c r="BY432">
        <v>877.2</v>
      </c>
    </row>
    <row r="433" spans="37:77" x14ac:dyDescent="0.3">
      <c r="AK433" s="70" t="s">
        <v>286</v>
      </c>
      <c r="AL433" s="72">
        <v>41256</v>
      </c>
      <c r="AM433"/>
      <c r="AW433" t="s">
        <v>8</v>
      </c>
      <c r="AX433" t="s">
        <v>14</v>
      </c>
      <c r="AY433" s="62">
        <v>38333</v>
      </c>
      <c r="AZ433">
        <v>10774</v>
      </c>
      <c r="BA433">
        <v>868.75</v>
      </c>
      <c r="BU433" t="s">
        <v>8</v>
      </c>
      <c r="BV433" t="s">
        <v>14</v>
      </c>
      <c r="BW433" s="62">
        <v>38333</v>
      </c>
      <c r="BX433">
        <v>10774</v>
      </c>
      <c r="BY433">
        <v>868.75</v>
      </c>
    </row>
    <row r="434" spans="37:77" x14ac:dyDescent="0.3">
      <c r="AK434" s="70" t="s">
        <v>280</v>
      </c>
      <c r="AL434" s="72">
        <v>41257</v>
      </c>
      <c r="AM434"/>
      <c r="AW434" t="s">
        <v>8</v>
      </c>
      <c r="AX434" t="s">
        <v>287</v>
      </c>
      <c r="AY434" s="62">
        <v>37968</v>
      </c>
      <c r="AZ434">
        <v>10377</v>
      </c>
      <c r="BA434">
        <v>863.6</v>
      </c>
      <c r="BU434" t="s">
        <v>8</v>
      </c>
      <c r="BV434" t="s">
        <v>287</v>
      </c>
      <c r="BW434" s="62">
        <v>37968</v>
      </c>
      <c r="BX434">
        <v>10377</v>
      </c>
      <c r="BY434">
        <v>863.6</v>
      </c>
    </row>
    <row r="435" spans="37:77" x14ac:dyDescent="0.3">
      <c r="AK435" s="70" t="s">
        <v>281</v>
      </c>
      <c r="AL435" s="72">
        <v>41258</v>
      </c>
      <c r="AM435"/>
      <c r="AW435" t="s">
        <v>8</v>
      </c>
      <c r="AX435" t="s">
        <v>287</v>
      </c>
      <c r="AY435" s="62">
        <v>38414</v>
      </c>
      <c r="AZ435">
        <v>10902</v>
      </c>
      <c r="BA435">
        <v>863.43</v>
      </c>
      <c r="BU435" t="s">
        <v>8</v>
      </c>
      <c r="BV435" t="s">
        <v>287</v>
      </c>
      <c r="BW435" s="62">
        <v>38414</v>
      </c>
      <c r="BX435">
        <v>10902</v>
      </c>
      <c r="BY435">
        <v>863.43</v>
      </c>
    </row>
    <row r="436" spans="37:77" x14ac:dyDescent="0.3">
      <c r="AK436" s="70" t="s">
        <v>282</v>
      </c>
      <c r="AL436" s="72">
        <v>41259</v>
      </c>
      <c r="AM436"/>
      <c r="AW436" t="s">
        <v>8</v>
      </c>
      <c r="AX436" t="s">
        <v>18</v>
      </c>
      <c r="AY436" s="62">
        <v>37968</v>
      </c>
      <c r="AZ436">
        <v>10379</v>
      </c>
      <c r="BA436">
        <v>863.28</v>
      </c>
      <c r="BU436" t="s">
        <v>8</v>
      </c>
      <c r="BV436" t="s">
        <v>18</v>
      </c>
      <c r="BW436" s="62">
        <v>37968</v>
      </c>
      <c r="BX436">
        <v>10379</v>
      </c>
      <c r="BY436">
        <v>863.28</v>
      </c>
    </row>
    <row r="437" spans="37:77" x14ac:dyDescent="0.3">
      <c r="AK437" s="70" t="s">
        <v>283</v>
      </c>
      <c r="AL437" s="72">
        <v>41260</v>
      </c>
      <c r="AM437"/>
      <c r="AW437" t="s">
        <v>8</v>
      </c>
      <c r="AX437" t="s">
        <v>287</v>
      </c>
      <c r="AY437" s="62">
        <v>38263</v>
      </c>
      <c r="AZ437">
        <v>10690</v>
      </c>
      <c r="BA437">
        <v>862.5</v>
      </c>
      <c r="BU437" t="s">
        <v>8</v>
      </c>
      <c r="BV437" t="s">
        <v>287</v>
      </c>
      <c r="BW437" s="62">
        <v>38263</v>
      </c>
      <c r="BX437">
        <v>10690</v>
      </c>
      <c r="BY437">
        <v>862.5</v>
      </c>
    </row>
    <row r="438" spans="37:77" x14ac:dyDescent="0.3">
      <c r="AK438" s="70" t="s">
        <v>284</v>
      </c>
      <c r="AL438" s="72">
        <v>41261</v>
      </c>
      <c r="AM438"/>
      <c r="AW438" t="s">
        <v>7</v>
      </c>
      <c r="AX438" t="s">
        <v>288</v>
      </c>
      <c r="AY438" s="62">
        <v>38401</v>
      </c>
      <c r="AZ438">
        <v>10890</v>
      </c>
      <c r="BA438">
        <v>860.1</v>
      </c>
      <c r="BU438" t="s">
        <v>7</v>
      </c>
      <c r="BV438" t="s">
        <v>288</v>
      </c>
      <c r="BW438" s="62">
        <v>38401</v>
      </c>
      <c r="BX438">
        <v>10890</v>
      </c>
      <c r="BY438">
        <v>860.1</v>
      </c>
    </row>
    <row r="439" spans="37:77" x14ac:dyDescent="0.3">
      <c r="AK439" s="70" t="s">
        <v>285</v>
      </c>
      <c r="AL439" s="72">
        <v>41262</v>
      </c>
      <c r="AM439"/>
      <c r="AW439" t="s">
        <v>8</v>
      </c>
      <c r="AX439" t="s">
        <v>15</v>
      </c>
      <c r="AY439" s="62">
        <v>38416</v>
      </c>
      <c r="AZ439">
        <v>10911</v>
      </c>
      <c r="BA439">
        <v>858</v>
      </c>
      <c r="BU439" t="s">
        <v>8</v>
      </c>
      <c r="BV439" t="s">
        <v>15</v>
      </c>
      <c r="BW439" s="62">
        <v>38416</v>
      </c>
      <c r="BX439">
        <v>10911</v>
      </c>
      <c r="BY439">
        <v>858</v>
      </c>
    </row>
    <row r="440" spans="37:77" x14ac:dyDescent="0.3">
      <c r="AK440" s="70" t="s">
        <v>279</v>
      </c>
      <c r="AL440" s="72">
        <v>41263</v>
      </c>
      <c r="AM440"/>
      <c r="AW440" t="s">
        <v>8</v>
      </c>
      <c r="AX440" t="s">
        <v>14</v>
      </c>
      <c r="AY440" s="62">
        <v>37995</v>
      </c>
      <c r="AZ440">
        <v>10403</v>
      </c>
      <c r="BA440">
        <v>855.01</v>
      </c>
      <c r="BU440" t="s">
        <v>8</v>
      </c>
      <c r="BV440" t="s">
        <v>14</v>
      </c>
      <c r="BW440" s="62">
        <v>37995</v>
      </c>
      <c r="BX440">
        <v>10403</v>
      </c>
      <c r="BY440">
        <v>855.01</v>
      </c>
    </row>
    <row r="441" spans="37:77" x14ac:dyDescent="0.3">
      <c r="AW441" t="s">
        <v>8</v>
      </c>
      <c r="AX441" t="s">
        <v>289</v>
      </c>
      <c r="AY441" s="62">
        <v>38360</v>
      </c>
      <c r="AZ441">
        <v>10811</v>
      </c>
      <c r="BA441">
        <v>852</v>
      </c>
      <c r="BU441" t="s">
        <v>8</v>
      </c>
      <c r="BV441" t="s">
        <v>289</v>
      </c>
      <c r="BW441" s="62">
        <v>38360</v>
      </c>
      <c r="BX441">
        <v>10811</v>
      </c>
      <c r="BY441">
        <v>852</v>
      </c>
    </row>
    <row r="442" spans="37:77" x14ac:dyDescent="0.3">
      <c r="AW442" t="s">
        <v>8</v>
      </c>
      <c r="AX442" t="s">
        <v>15</v>
      </c>
      <c r="AY442" s="62">
        <v>38088</v>
      </c>
      <c r="AZ442">
        <v>10492</v>
      </c>
      <c r="BA442">
        <v>851.2</v>
      </c>
      <c r="BU442" t="s">
        <v>8</v>
      </c>
      <c r="BV442" t="s">
        <v>15</v>
      </c>
      <c r="BW442" s="62">
        <v>38088</v>
      </c>
      <c r="BX442">
        <v>10492</v>
      </c>
      <c r="BY442">
        <v>851.2</v>
      </c>
    </row>
    <row r="443" spans="37:77" x14ac:dyDescent="0.3">
      <c r="AW443" t="s">
        <v>8</v>
      </c>
      <c r="AX443" t="s">
        <v>287</v>
      </c>
      <c r="AY443" s="62">
        <v>37875</v>
      </c>
      <c r="AZ443">
        <v>10293</v>
      </c>
      <c r="BA443">
        <v>848.7</v>
      </c>
      <c r="BU443" t="s">
        <v>8</v>
      </c>
      <c r="BV443" t="s">
        <v>287</v>
      </c>
      <c r="BW443" s="62">
        <v>37875</v>
      </c>
      <c r="BX443">
        <v>10293</v>
      </c>
      <c r="BY443">
        <v>848.7</v>
      </c>
    </row>
    <row r="444" spans="37:77" x14ac:dyDescent="0.3">
      <c r="AW444" t="s">
        <v>7</v>
      </c>
      <c r="AX444" t="s">
        <v>13</v>
      </c>
      <c r="AY444" s="62">
        <v>38441</v>
      </c>
      <c r="AZ444">
        <v>10965</v>
      </c>
      <c r="BA444">
        <v>848</v>
      </c>
      <c r="BU444" t="s">
        <v>7</v>
      </c>
      <c r="BV444" t="s">
        <v>13</v>
      </c>
      <c r="BW444" s="62">
        <v>38441</v>
      </c>
      <c r="BX444">
        <v>10965</v>
      </c>
      <c r="BY444">
        <v>848</v>
      </c>
    </row>
    <row r="445" spans="37:77" x14ac:dyDescent="0.3">
      <c r="AW445" t="s">
        <v>8</v>
      </c>
      <c r="AX445" t="s">
        <v>287</v>
      </c>
      <c r="AY445" s="62">
        <v>38373</v>
      </c>
      <c r="AZ445">
        <v>10835</v>
      </c>
      <c r="BA445">
        <v>845.8</v>
      </c>
      <c r="BU445" t="s">
        <v>8</v>
      </c>
      <c r="BV445" t="s">
        <v>287</v>
      </c>
      <c r="BW445" s="62">
        <v>38373</v>
      </c>
      <c r="BX445">
        <v>10835</v>
      </c>
      <c r="BY445">
        <v>845.8</v>
      </c>
    </row>
    <row r="446" spans="37:77" x14ac:dyDescent="0.3">
      <c r="AW446" t="s">
        <v>8</v>
      </c>
      <c r="AX446" t="s">
        <v>289</v>
      </c>
      <c r="AY446" s="62">
        <v>38296</v>
      </c>
      <c r="AZ446">
        <v>10719</v>
      </c>
      <c r="BA446">
        <v>844.25</v>
      </c>
      <c r="BU446" t="s">
        <v>8</v>
      </c>
      <c r="BV446" t="s">
        <v>289</v>
      </c>
      <c r="BW446" s="62">
        <v>38296</v>
      </c>
      <c r="BX446">
        <v>10719</v>
      </c>
      <c r="BY446">
        <v>844.25</v>
      </c>
    </row>
    <row r="447" spans="37:77" x14ac:dyDescent="0.3">
      <c r="AW447" t="s">
        <v>8</v>
      </c>
      <c r="AX447" t="s">
        <v>287</v>
      </c>
      <c r="AY447" s="62">
        <v>38389</v>
      </c>
      <c r="AZ447">
        <v>10827</v>
      </c>
      <c r="BA447">
        <v>843</v>
      </c>
      <c r="BU447" t="s">
        <v>8</v>
      </c>
      <c r="BV447" t="s">
        <v>287</v>
      </c>
      <c r="BW447" s="62">
        <v>38389</v>
      </c>
      <c r="BX447">
        <v>10827</v>
      </c>
      <c r="BY447">
        <v>843</v>
      </c>
    </row>
    <row r="448" spans="37:77" x14ac:dyDescent="0.3">
      <c r="AW448" t="s">
        <v>8</v>
      </c>
      <c r="AX448" t="s">
        <v>15</v>
      </c>
      <c r="AY448" s="62">
        <v>38168</v>
      </c>
      <c r="AZ448">
        <v>10576</v>
      </c>
      <c r="BA448">
        <v>838.45</v>
      </c>
      <c r="BU448" t="s">
        <v>8</v>
      </c>
      <c r="BV448" t="s">
        <v>15</v>
      </c>
      <c r="BW448" s="62">
        <v>38168</v>
      </c>
      <c r="BX448">
        <v>10576</v>
      </c>
      <c r="BY448">
        <v>838.45</v>
      </c>
    </row>
    <row r="449" spans="49:77" x14ac:dyDescent="0.3">
      <c r="AW449" t="s">
        <v>8</v>
      </c>
      <c r="AX449" t="s">
        <v>18</v>
      </c>
      <c r="AY449" s="62">
        <v>38151</v>
      </c>
      <c r="AZ449">
        <v>10556</v>
      </c>
      <c r="BA449">
        <v>835.2</v>
      </c>
      <c r="BU449" t="s">
        <v>8</v>
      </c>
      <c r="BV449" t="s">
        <v>18</v>
      </c>
      <c r="BW449" s="62">
        <v>38151</v>
      </c>
      <c r="BX449">
        <v>10556</v>
      </c>
      <c r="BY449">
        <v>835.2</v>
      </c>
    </row>
    <row r="450" spans="49:77" x14ac:dyDescent="0.3">
      <c r="AW450" t="s">
        <v>7</v>
      </c>
      <c r="AX450" t="s">
        <v>288</v>
      </c>
      <c r="AY450" s="62">
        <v>37957</v>
      </c>
      <c r="AZ450">
        <v>10367</v>
      </c>
      <c r="BA450">
        <v>834.2</v>
      </c>
      <c r="BU450" t="s">
        <v>7</v>
      </c>
      <c r="BV450" t="s">
        <v>288</v>
      </c>
      <c r="BW450" s="62">
        <v>37957</v>
      </c>
      <c r="BX450">
        <v>10367</v>
      </c>
      <c r="BY450">
        <v>834.2</v>
      </c>
    </row>
    <row r="451" spans="49:77" x14ac:dyDescent="0.3">
      <c r="AW451" t="s">
        <v>7</v>
      </c>
      <c r="AX451" t="s">
        <v>288</v>
      </c>
      <c r="AY451" s="62">
        <v>38364</v>
      </c>
      <c r="AZ451">
        <v>10818</v>
      </c>
      <c r="BA451">
        <v>833</v>
      </c>
      <c r="BU451" t="s">
        <v>7</v>
      </c>
      <c r="BV451" t="s">
        <v>288</v>
      </c>
      <c r="BW451" s="62">
        <v>38364</v>
      </c>
      <c r="BX451">
        <v>10818</v>
      </c>
      <c r="BY451">
        <v>833</v>
      </c>
    </row>
    <row r="452" spans="49:77" x14ac:dyDescent="0.3">
      <c r="AW452" t="s">
        <v>8</v>
      </c>
      <c r="AX452" t="s">
        <v>15</v>
      </c>
      <c r="AY452" s="62">
        <v>38374</v>
      </c>
      <c r="AZ452">
        <v>10839</v>
      </c>
      <c r="BA452">
        <v>827.55</v>
      </c>
      <c r="BU452" t="s">
        <v>8</v>
      </c>
      <c r="BV452" t="s">
        <v>15</v>
      </c>
      <c r="BW452" s="62">
        <v>38374</v>
      </c>
      <c r="BX452">
        <v>10839</v>
      </c>
      <c r="BY452">
        <v>827.55</v>
      </c>
    </row>
    <row r="453" spans="49:77" x14ac:dyDescent="0.3">
      <c r="AW453" t="s">
        <v>8</v>
      </c>
      <c r="AX453" t="s">
        <v>289</v>
      </c>
      <c r="AY453" s="62">
        <v>37861</v>
      </c>
      <c r="AZ453">
        <v>10287</v>
      </c>
      <c r="BA453">
        <v>819</v>
      </c>
      <c r="BU453" t="s">
        <v>8</v>
      </c>
      <c r="BV453" t="s">
        <v>289</v>
      </c>
      <c r="BW453" s="62">
        <v>37861</v>
      </c>
      <c r="BX453">
        <v>10287</v>
      </c>
      <c r="BY453">
        <v>819</v>
      </c>
    </row>
    <row r="454" spans="49:77" x14ac:dyDescent="0.3">
      <c r="AW454" t="s">
        <v>8</v>
      </c>
      <c r="AX454" t="s">
        <v>287</v>
      </c>
      <c r="AY454" s="62">
        <v>38130</v>
      </c>
      <c r="AZ454">
        <v>10525</v>
      </c>
      <c r="BA454">
        <v>818.4</v>
      </c>
      <c r="BU454" t="s">
        <v>8</v>
      </c>
      <c r="BV454" t="s">
        <v>287</v>
      </c>
      <c r="BW454" s="62">
        <v>38130</v>
      </c>
      <c r="BX454">
        <v>10525</v>
      </c>
      <c r="BY454">
        <v>818.4</v>
      </c>
    </row>
    <row r="455" spans="49:77" x14ac:dyDescent="0.3">
      <c r="AW455" t="s">
        <v>7</v>
      </c>
      <c r="AX455" t="s">
        <v>288</v>
      </c>
      <c r="AY455" s="62">
        <v>38473</v>
      </c>
      <c r="AZ455">
        <v>11047</v>
      </c>
      <c r="BA455">
        <v>817.87</v>
      </c>
      <c r="BU455" t="s">
        <v>7</v>
      </c>
      <c r="BV455" t="s">
        <v>288</v>
      </c>
      <c r="BW455" s="62">
        <v>38473</v>
      </c>
      <c r="BX455">
        <v>11047</v>
      </c>
      <c r="BY455">
        <v>817.87</v>
      </c>
    </row>
    <row r="456" spans="49:77" x14ac:dyDescent="0.3">
      <c r="AW456" t="s">
        <v>8</v>
      </c>
      <c r="AX456" t="s">
        <v>18</v>
      </c>
      <c r="AY456" s="62">
        <v>38106</v>
      </c>
      <c r="AZ456">
        <v>10502</v>
      </c>
      <c r="BA456">
        <v>816.3</v>
      </c>
      <c r="BU456" t="s">
        <v>8</v>
      </c>
      <c r="BV456" t="s">
        <v>18</v>
      </c>
      <c r="BW456" s="62">
        <v>38106</v>
      </c>
      <c r="BX456">
        <v>10502</v>
      </c>
      <c r="BY456">
        <v>816.3</v>
      </c>
    </row>
    <row r="457" spans="49:77" x14ac:dyDescent="0.3">
      <c r="AW457" t="s">
        <v>7</v>
      </c>
      <c r="AX457" t="s">
        <v>13</v>
      </c>
      <c r="AY457" s="62">
        <v>38232</v>
      </c>
      <c r="AZ457">
        <v>10643</v>
      </c>
      <c r="BA457">
        <v>814.5</v>
      </c>
      <c r="BU457" t="s">
        <v>7</v>
      </c>
      <c r="BV457" t="s">
        <v>13</v>
      </c>
      <c r="BW457" s="62">
        <v>38232</v>
      </c>
      <c r="BX457">
        <v>10643</v>
      </c>
      <c r="BY457">
        <v>814.5</v>
      </c>
    </row>
    <row r="458" spans="49:77" x14ac:dyDescent="0.3">
      <c r="AW458" t="s">
        <v>8</v>
      </c>
      <c r="AX458" t="s">
        <v>14</v>
      </c>
      <c r="AY458" s="62">
        <v>37933</v>
      </c>
      <c r="AZ458">
        <v>10347</v>
      </c>
      <c r="BA458">
        <v>814.42</v>
      </c>
      <c r="BU458" t="s">
        <v>8</v>
      </c>
      <c r="BV458" t="s">
        <v>14</v>
      </c>
      <c r="BW458" s="62">
        <v>37933</v>
      </c>
      <c r="BX458">
        <v>10347</v>
      </c>
      <c r="BY458">
        <v>814.42</v>
      </c>
    </row>
    <row r="459" spans="49:77" x14ac:dyDescent="0.3">
      <c r="AW459" t="s">
        <v>8</v>
      </c>
      <c r="AX459" t="s">
        <v>287</v>
      </c>
      <c r="AY459" s="62">
        <v>38256</v>
      </c>
      <c r="AZ459">
        <v>10677</v>
      </c>
      <c r="BA459">
        <v>813.36</v>
      </c>
      <c r="BU459" t="s">
        <v>8</v>
      </c>
      <c r="BV459" t="s">
        <v>287</v>
      </c>
      <c r="BW459" s="62">
        <v>38256</v>
      </c>
      <c r="BX459">
        <v>10677</v>
      </c>
      <c r="BY459">
        <v>813.36</v>
      </c>
    </row>
    <row r="460" spans="49:77" x14ac:dyDescent="0.3">
      <c r="AW460" t="s">
        <v>8</v>
      </c>
      <c r="AX460" t="s">
        <v>287</v>
      </c>
      <c r="AY460" s="62">
        <v>38184</v>
      </c>
      <c r="AZ460">
        <v>10591</v>
      </c>
      <c r="BA460">
        <v>812.5</v>
      </c>
      <c r="BU460" t="s">
        <v>8</v>
      </c>
      <c r="BV460" t="s">
        <v>287</v>
      </c>
      <c r="BW460" s="62">
        <v>38184</v>
      </c>
      <c r="BX460">
        <v>10591</v>
      </c>
      <c r="BY460">
        <v>812.5</v>
      </c>
    </row>
    <row r="461" spans="49:77" x14ac:dyDescent="0.3">
      <c r="AW461" t="s">
        <v>7</v>
      </c>
      <c r="AX461" t="s">
        <v>13</v>
      </c>
      <c r="AY461" s="62">
        <v>38200</v>
      </c>
      <c r="AZ461">
        <v>10611</v>
      </c>
      <c r="BA461">
        <v>808</v>
      </c>
      <c r="BU461" t="s">
        <v>7</v>
      </c>
      <c r="BV461" t="s">
        <v>13</v>
      </c>
      <c r="BW461" s="62">
        <v>38200</v>
      </c>
      <c r="BX461">
        <v>10611</v>
      </c>
      <c r="BY461">
        <v>808</v>
      </c>
    </row>
    <row r="462" spans="49:77" x14ac:dyDescent="0.3">
      <c r="AW462" t="s">
        <v>8</v>
      </c>
      <c r="AX462" t="s">
        <v>287</v>
      </c>
      <c r="AY462" s="62">
        <v>38177</v>
      </c>
      <c r="AZ462">
        <v>10587</v>
      </c>
      <c r="BA462">
        <v>807.38</v>
      </c>
      <c r="BU462" t="s">
        <v>8</v>
      </c>
      <c r="BV462" t="s">
        <v>287</v>
      </c>
      <c r="BW462" s="62">
        <v>38177</v>
      </c>
      <c r="BX462">
        <v>10587</v>
      </c>
      <c r="BY462">
        <v>807.38</v>
      </c>
    </row>
    <row r="463" spans="49:77" x14ac:dyDescent="0.3">
      <c r="AW463" t="s">
        <v>8</v>
      </c>
      <c r="AX463" t="s">
        <v>15</v>
      </c>
      <c r="AY463" s="62">
        <v>38274</v>
      </c>
      <c r="AZ463">
        <v>10697</v>
      </c>
      <c r="BA463">
        <v>805.43</v>
      </c>
      <c r="BU463" t="s">
        <v>8</v>
      </c>
      <c r="BV463" t="s">
        <v>15</v>
      </c>
      <c r="BW463" s="62">
        <v>38274</v>
      </c>
      <c r="BX463">
        <v>10697</v>
      </c>
      <c r="BY463">
        <v>805.43</v>
      </c>
    </row>
    <row r="464" spans="49:77" x14ac:dyDescent="0.3">
      <c r="AW464" t="s">
        <v>8</v>
      </c>
      <c r="AX464" t="s">
        <v>15</v>
      </c>
      <c r="AY464" s="62">
        <v>38001</v>
      </c>
      <c r="AZ464">
        <v>10410</v>
      </c>
      <c r="BA464">
        <v>802</v>
      </c>
      <c r="BU464" t="s">
        <v>8</v>
      </c>
      <c r="BV464" t="s">
        <v>15</v>
      </c>
      <c r="BW464" s="62">
        <v>38001</v>
      </c>
      <c r="BX464">
        <v>10410</v>
      </c>
      <c r="BY464">
        <v>802</v>
      </c>
    </row>
    <row r="465" spans="49:77" x14ac:dyDescent="0.3">
      <c r="AW465" t="s">
        <v>8</v>
      </c>
      <c r="AX465" t="s">
        <v>14</v>
      </c>
      <c r="AY465" s="62">
        <v>38263</v>
      </c>
      <c r="AZ465">
        <v>10685</v>
      </c>
      <c r="BA465">
        <v>801.1</v>
      </c>
      <c r="BU465" t="s">
        <v>8</v>
      </c>
      <c r="BV465" t="s">
        <v>14</v>
      </c>
      <c r="BW465" s="62">
        <v>38263</v>
      </c>
      <c r="BX465">
        <v>10685</v>
      </c>
      <c r="BY465">
        <v>801.1</v>
      </c>
    </row>
    <row r="466" spans="49:77" x14ac:dyDescent="0.3">
      <c r="AW466" t="s">
        <v>8</v>
      </c>
      <c r="AX466" t="s">
        <v>14</v>
      </c>
      <c r="AY466" s="62">
        <v>38450</v>
      </c>
      <c r="AZ466">
        <v>10927</v>
      </c>
      <c r="BA466">
        <v>800</v>
      </c>
      <c r="BU466" t="s">
        <v>8</v>
      </c>
      <c r="BV466" t="s">
        <v>14</v>
      </c>
      <c r="BW466" s="62">
        <v>38450</v>
      </c>
      <c r="BX466">
        <v>10927</v>
      </c>
      <c r="BY466">
        <v>800</v>
      </c>
    </row>
    <row r="467" spans="49:77" x14ac:dyDescent="0.3">
      <c r="AW467" t="s">
        <v>8</v>
      </c>
      <c r="AX467" t="s">
        <v>14</v>
      </c>
      <c r="AY467" s="62">
        <v>38430</v>
      </c>
      <c r="AZ467">
        <v>10931</v>
      </c>
      <c r="BA467">
        <v>799.2</v>
      </c>
      <c r="BU467" t="s">
        <v>8</v>
      </c>
      <c r="BV467" t="s">
        <v>14</v>
      </c>
      <c r="BW467" s="62">
        <v>38430</v>
      </c>
      <c r="BX467">
        <v>10931</v>
      </c>
      <c r="BY467">
        <v>799.2</v>
      </c>
    </row>
    <row r="468" spans="49:77" x14ac:dyDescent="0.3">
      <c r="AW468" t="s">
        <v>7</v>
      </c>
      <c r="AX468" t="s">
        <v>288</v>
      </c>
      <c r="AY468" s="62">
        <v>38119</v>
      </c>
      <c r="AZ468">
        <v>10532</v>
      </c>
      <c r="BA468">
        <v>796.35</v>
      </c>
      <c r="BU468" t="s">
        <v>7</v>
      </c>
      <c r="BV468" t="s">
        <v>288</v>
      </c>
      <c r="BW468" s="62">
        <v>38119</v>
      </c>
      <c r="BX468">
        <v>10532</v>
      </c>
      <c r="BY468">
        <v>796.35</v>
      </c>
    </row>
    <row r="469" spans="49:77" x14ac:dyDescent="0.3">
      <c r="AW469" t="s">
        <v>7</v>
      </c>
      <c r="AX469" t="s">
        <v>288</v>
      </c>
      <c r="AY469" s="62">
        <v>38438</v>
      </c>
      <c r="AZ469">
        <v>10958</v>
      </c>
      <c r="BA469">
        <v>781</v>
      </c>
      <c r="BU469" t="s">
        <v>7</v>
      </c>
      <c r="BV469" t="s">
        <v>288</v>
      </c>
      <c r="BW469" s="62">
        <v>38438</v>
      </c>
      <c r="BX469">
        <v>10958</v>
      </c>
      <c r="BY469">
        <v>781</v>
      </c>
    </row>
    <row r="470" spans="49:77" x14ac:dyDescent="0.3">
      <c r="AW470" t="s">
        <v>8</v>
      </c>
      <c r="AX470" t="s">
        <v>14</v>
      </c>
      <c r="AY470" s="62">
        <v>38415</v>
      </c>
      <c r="AZ470">
        <v>10913</v>
      </c>
      <c r="BA470">
        <v>768.75</v>
      </c>
      <c r="BU470" t="s">
        <v>8</v>
      </c>
      <c r="BV470" t="s">
        <v>14</v>
      </c>
      <c r="BW470" s="62">
        <v>38415</v>
      </c>
      <c r="BX470">
        <v>10913</v>
      </c>
      <c r="BY470">
        <v>768.75</v>
      </c>
    </row>
    <row r="471" spans="49:77" x14ac:dyDescent="0.3">
      <c r="AW471" t="s">
        <v>8</v>
      </c>
      <c r="AX471" t="s">
        <v>14</v>
      </c>
      <c r="AY471" s="62">
        <v>38168</v>
      </c>
      <c r="AZ471">
        <v>10574</v>
      </c>
      <c r="BA471">
        <v>764.3</v>
      </c>
      <c r="BU471" t="s">
        <v>8</v>
      </c>
      <c r="BV471" t="s">
        <v>14</v>
      </c>
      <c r="BW471" s="62">
        <v>38168</v>
      </c>
      <c r="BX471">
        <v>10574</v>
      </c>
      <c r="BY471">
        <v>764.3</v>
      </c>
    </row>
    <row r="472" spans="49:77" x14ac:dyDescent="0.3">
      <c r="AW472" t="s">
        <v>8</v>
      </c>
      <c r="AX472" t="s">
        <v>14</v>
      </c>
      <c r="AY472" s="62">
        <v>38210</v>
      </c>
      <c r="AZ472">
        <v>10621</v>
      </c>
      <c r="BA472">
        <v>758.5</v>
      </c>
      <c r="BU472" t="s">
        <v>8</v>
      </c>
      <c r="BV472" t="s">
        <v>14</v>
      </c>
      <c r="BW472" s="62">
        <v>38210</v>
      </c>
      <c r="BX472">
        <v>10621</v>
      </c>
      <c r="BY472">
        <v>758.5</v>
      </c>
    </row>
    <row r="473" spans="49:77" x14ac:dyDescent="0.3">
      <c r="AW473" t="s">
        <v>7</v>
      </c>
      <c r="AX473" t="s">
        <v>13</v>
      </c>
      <c r="AY473" s="62">
        <v>38070</v>
      </c>
      <c r="AZ473">
        <v>10480</v>
      </c>
      <c r="BA473">
        <v>756</v>
      </c>
      <c r="BU473" t="s">
        <v>7</v>
      </c>
      <c r="BV473" t="s">
        <v>13</v>
      </c>
      <c r="BW473" s="62">
        <v>38070</v>
      </c>
      <c r="BX473">
        <v>10480</v>
      </c>
      <c r="BY473">
        <v>756</v>
      </c>
    </row>
    <row r="474" spans="49:77" x14ac:dyDescent="0.3">
      <c r="AW474" t="s">
        <v>8</v>
      </c>
      <c r="AX474" t="s">
        <v>289</v>
      </c>
      <c r="AY474" s="62">
        <v>37881</v>
      </c>
      <c r="AZ474">
        <v>10301</v>
      </c>
      <c r="BA474">
        <v>755</v>
      </c>
      <c r="BU474" t="s">
        <v>8</v>
      </c>
      <c r="BV474" t="s">
        <v>289</v>
      </c>
      <c r="BW474" s="62">
        <v>37881</v>
      </c>
      <c r="BX474">
        <v>10301</v>
      </c>
      <c r="BY474">
        <v>755</v>
      </c>
    </row>
    <row r="475" spans="49:77" x14ac:dyDescent="0.3">
      <c r="AW475" t="s">
        <v>7</v>
      </c>
      <c r="AX475" t="s">
        <v>288</v>
      </c>
      <c r="AY475" s="62">
        <v>38410</v>
      </c>
      <c r="AZ475">
        <v>10896</v>
      </c>
      <c r="BA475">
        <v>750.5</v>
      </c>
      <c r="BU475" t="s">
        <v>7</v>
      </c>
      <c r="BV475" t="s">
        <v>288</v>
      </c>
      <c r="BW475" s="62">
        <v>38410</v>
      </c>
      <c r="BX475">
        <v>10896</v>
      </c>
      <c r="BY475">
        <v>750.5</v>
      </c>
    </row>
    <row r="476" spans="49:77" x14ac:dyDescent="0.3">
      <c r="AW476" t="s">
        <v>7</v>
      </c>
      <c r="AX476" t="s">
        <v>288</v>
      </c>
      <c r="AY476" s="62">
        <v>38099</v>
      </c>
      <c r="AZ476">
        <v>10507</v>
      </c>
      <c r="BA476">
        <v>749.06</v>
      </c>
      <c r="BU476" t="s">
        <v>7</v>
      </c>
      <c r="BV476" t="s">
        <v>288</v>
      </c>
      <c r="BW476" s="62">
        <v>38099</v>
      </c>
      <c r="BX476">
        <v>10507</v>
      </c>
      <c r="BY476">
        <v>749.06</v>
      </c>
    </row>
    <row r="477" spans="49:77" x14ac:dyDescent="0.3">
      <c r="AW477" t="s">
        <v>7</v>
      </c>
      <c r="AX477" t="s">
        <v>288</v>
      </c>
      <c r="AY477" s="62">
        <v>38424</v>
      </c>
      <c r="AZ477">
        <v>10923</v>
      </c>
      <c r="BA477">
        <v>748.8</v>
      </c>
      <c r="BU477" t="s">
        <v>7</v>
      </c>
      <c r="BV477" t="s">
        <v>288</v>
      </c>
      <c r="BW477" s="62">
        <v>38424</v>
      </c>
      <c r="BX477">
        <v>10923</v>
      </c>
      <c r="BY477">
        <v>748.8</v>
      </c>
    </row>
    <row r="478" spans="49:77" x14ac:dyDescent="0.3">
      <c r="AW478" t="s">
        <v>7</v>
      </c>
      <c r="AX478" t="s">
        <v>17</v>
      </c>
      <c r="AY478" s="62">
        <v>38416</v>
      </c>
      <c r="AZ478">
        <v>10922</v>
      </c>
      <c r="BA478">
        <v>742.5</v>
      </c>
      <c r="BU478" t="s">
        <v>7</v>
      </c>
      <c r="BV478" t="s">
        <v>17</v>
      </c>
      <c r="BW478" s="62">
        <v>38416</v>
      </c>
      <c r="BX478">
        <v>10922</v>
      </c>
      <c r="BY478">
        <v>742.5</v>
      </c>
    </row>
    <row r="479" spans="49:77" x14ac:dyDescent="0.3">
      <c r="AW479" t="s">
        <v>7</v>
      </c>
      <c r="AX479" t="s">
        <v>13</v>
      </c>
      <c r="AY479" s="62">
        <v>38315</v>
      </c>
      <c r="AZ479">
        <v>10744</v>
      </c>
      <c r="BA479">
        <v>736</v>
      </c>
      <c r="BU479" t="s">
        <v>7</v>
      </c>
      <c r="BV479" t="s">
        <v>13</v>
      </c>
      <c r="BW479" s="62">
        <v>38315</v>
      </c>
      <c r="BX479">
        <v>10744</v>
      </c>
      <c r="BY479">
        <v>736</v>
      </c>
    </row>
    <row r="480" spans="49:77" x14ac:dyDescent="0.3">
      <c r="AW480" t="s">
        <v>8</v>
      </c>
      <c r="AX480" t="s">
        <v>289</v>
      </c>
      <c r="AY480" s="62">
        <v>38378</v>
      </c>
      <c r="AZ480">
        <v>10844</v>
      </c>
      <c r="BA480">
        <v>735</v>
      </c>
      <c r="BU480" t="s">
        <v>8</v>
      </c>
      <c r="BV480" t="s">
        <v>289</v>
      </c>
      <c r="BW480" s="62">
        <v>38378</v>
      </c>
      <c r="BX480">
        <v>10844</v>
      </c>
      <c r="BY480">
        <v>735</v>
      </c>
    </row>
    <row r="481" spans="49:77" x14ac:dyDescent="0.3">
      <c r="AW481" t="s">
        <v>8</v>
      </c>
      <c r="AX481" t="s">
        <v>287</v>
      </c>
      <c r="AY481" s="62">
        <v>38472</v>
      </c>
      <c r="AZ481">
        <v>11038</v>
      </c>
      <c r="BA481">
        <v>732.6</v>
      </c>
      <c r="BU481" t="s">
        <v>8</v>
      </c>
      <c r="BV481" t="s">
        <v>287</v>
      </c>
      <c r="BW481" s="62">
        <v>38472</v>
      </c>
      <c r="BX481">
        <v>11038</v>
      </c>
      <c r="BY481">
        <v>732.6</v>
      </c>
    </row>
    <row r="482" spans="49:77" x14ac:dyDescent="0.3">
      <c r="AW482" t="s">
        <v>8</v>
      </c>
      <c r="AX482" t="s">
        <v>287</v>
      </c>
      <c r="AY482" s="62">
        <v>38371</v>
      </c>
      <c r="AZ482">
        <v>10788</v>
      </c>
      <c r="BA482">
        <v>731.5</v>
      </c>
      <c r="BU482" t="s">
        <v>8</v>
      </c>
      <c r="BV482" t="s">
        <v>287</v>
      </c>
      <c r="BW482" s="62">
        <v>38371</v>
      </c>
      <c r="BX482">
        <v>10788</v>
      </c>
      <c r="BY482">
        <v>731.5</v>
      </c>
    </row>
    <row r="483" spans="49:77" x14ac:dyDescent="0.3">
      <c r="AW483" t="s">
        <v>7</v>
      </c>
      <c r="AX483" t="s">
        <v>13</v>
      </c>
      <c r="AY483" s="62">
        <v>38389</v>
      </c>
      <c r="AZ483">
        <v>10826</v>
      </c>
      <c r="BA483">
        <v>730</v>
      </c>
      <c r="BU483" t="s">
        <v>7</v>
      </c>
      <c r="BV483" t="s">
        <v>13</v>
      </c>
      <c r="BW483" s="62">
        <v>38389</v>
      </c>
      <c r="BX483">
        <v>10826</v>
      </c>
      <c r="BY483">
        <v>730</v>
      </c>
    </row>
    <row r="484" spans="49:77" x14ac:dyDescent="0.3">
      <c r="AW484" t="s">
        <v>7</v>
      </c>
      <c r="AX484" t="s">
        <v>13</v>
      </c>
      <c r="AY484" s="62">
        <v>38347</v>
      </c>
      <c r="AZ484">
        <v>10790</v>
      </c>
      <c r="BA484">
        <v>722.5</v>
      </c>
      <c r="BU484" t="s">
        <v>7</v>
      </c>
      <c r="BV484" t="s">
        <v>13</v>
      </c>
      <c r="BW484" s="62">
        <v>38347</v>
      </c>
      <c r="BX484">
        <v>10790</v>
      </c>
      <c r="BY484">
        <v>722.5</v>
      </c>
    </row>
    <row r="485" spans="49:77" x14ac:dyDescent="0.3">
      <c r="AW485" t="s">
        <v>8</v>
      </c>
      <c r="AX485" t="s">
        <v>18</v>
      </c>
      <c r="AY485" s="62">
        <v>38448</v>
      </c>
      <c r="AZ485">
        <v>10983</v>
      </c>
      <c r="BA485">
        <v>720.9</v>
      </c>
      <c r="BU485" t="s">
        <v>8</v>
      </c>
      <c r="BV485" t="s">
        <v>18</v>
      </c>
      <c r="BW485" s="62">
        <v>38448</v>
      </c>
      <c r="BX485">
        <v>10983</v>
      </c>
      <c r="BY485">
        <v>720.9</v>
      </c>
    </row>
    <row r="486" spans="49:77" x14ac:dyDescent="0.3">
      <c r="AW486" t="s">
        <v>8</v>
      </c>
      <c r="AX486" t="s">
        <v>289</v>
      </c>
      <c r="AY486" s="62">
        <v>38013</v>
      </c>
      <c r="AZ486">
        <v>10416</v>
      </c>
      <c r="BA486">
        <v>720</v>
      </c>
      <c r="BU486" t="s">
        <v>8</v>
      </c>
      <c r="BV486" t="s">
        <v>289</v>
      </c>
      <c r="BW486" s="62">
        <v>38013</v>
      </c>
      <c r="BX486">
        <v>10416</v>
      </c>
      <c r="BY486">
        <v>720</v>
      </c>
    </row>
    <row r="487" spans="49:77" x14ac:dyDescent="0.3">
      <c r="AW487" t="s">
        <v>8</v>
      </c>
      <c r="AX487" t="s">
        <v>18</v>
      </c>
      <c r="AY487" s="62">
        <v>38346</v>
      </c>
      <c r="AZ487">
        <v>10780</v>
      </c>
      <c r="BA487">
        <v>720</v>
      </c>
      <c r="BU487" t="s">
        <v>8</v>
      </c>
      <c r="BV487" t="s">
        <v>18</v>
      </c>
      <c r="BW487" s="62">
        <v>38346</v>
      </c>
      <c r="BX487">
        <v>10780</v>
      </c>
      <c r="BY487">
        <v>720</v>
      </c>
    </row>
    <row r="488" spans="49:77" x14ac:dyDescent="0.3">
      <c r="AW488" t="s">
        <v>7</v>
      </c>
      <c r="AX488" t="s">
        <v>288</v>
      </c>
      <c r="AY488" s="62">
        <v>38186</v>
      </c>
      <c r="AZ488">
        <v>10597</v>
      </c>
      <c r="BA488">
        <v>718.08</v>
      </c>
      <c r="BU488" t="s">
        <v>7</v>
      </c>
      <c r="BV488" t="s">
        <v>288</v>
      </c>
      <c r="BW488" s="62">
        <v>38186</v>
      </c>
      <c r="BX488">
        <v>10597</v>
      </c>
      <c r="BY488">
        <v>718.08</v>
      </c>
    </row>
    <row r="489" spans="49:77" x14ac:dyDescent="0.3">
      <c r="AW489" t="s">
        <v>8</v>
      </c>
      <c r="AX489" t="s">
        <v>15</v>
      </c>
      <c r="AY489" s="62">
        <v>38058</v>
      </c>
      <c r="AZ489">
        <v>10468</v>
      </c>
      <c r="BA489">
        <v>717.6</v>
      </c>
      <c r="BU489" t="s">
        <v>8</v>
      </c>
      <c r="BV489" t="s">
        <v>15</v>
      </c>
      <c r="BW489" s="62">
        <v>38058</v>
      </c>
      <c r="BX489">
        <v>10468</v>
      </c>
      <c r="BY489">
        <v>717.6</v>
      </c>
    </row>
    <row r="490" spans="49:77" x14ac:dyDescent="0.3">
      <c r="AW490" t="s">
        <v>8</v>
      </c>
      <c r="AX490" t="s">
        <v>287</v>
      </c>
      <c r="AY490" s="62">
        <v>38438</v>
      </c>
      <c r="AZ490">
        <v>10975</v>
      </c>
      <c r="BA490">
        <v>717.5</v>
      </c>
      <c r="BU490" t="s">
        <v>8</v>
      </c>
      <c r="BV490" t="s">
        <v>287</v>
      </c>
      <c r="BW490" s="62">
        <v>38438</v>
      </c>
      <c r="BX490">
        <v>10975</v>
      </c>
      <c r="BY490">
        <v>717.5</v>
      </c>
    </row>
    <row r="491" spans="49:77" x14ac:dyDescent="0.3">
      <c r="AW491" t="s">
        <v>7</v>
      </c>
      <c r="AX491" t="s">
        <v>17</v>
      </c>
      <c r="AY491" s="62">
        <v>37988</v>
      </c>
      <c r="AZ491">
        <v>10397</v>
      </c>
      <c r="BA491">
        <v>716.72</v>
      </c>
      <c r="BU491" t="s">
        <v>7</v>
      </c>
      <c r="BV491" t="s">
        <v>17</v>
      </c>
      <c r="BW491" s="62">
        <v>37988</v>
      </c>
      <c r="BX491">
        <v>10397</v>
      </c>
      <c r="BY491">
        <v>716.72</v>
      </c>
    </row>
    <row r="492" spans="49:77" x14ac:dyDescent="0.3">
      <c r="AW492" t="s">
        <v>7</v>
      </c>
      <c r="AX492" t="s">
        <v>17</v>
      </c>
      <c r="AY492" s="62">
        <v>38052</v>
      </c>
      <c r="AZ492">
        <v>10463</v>
      </c>
      <c r="BA492">
        <v>713.3</v>
      </c>
      <c r="BU492" t="s">
        <v>7</v>
      </c>
      <c r="BV492" t="s">
        <v>17</v>
      </c>
      <c r="BW492" s="62">
        <v>38052</v>
      </c>
      <c r="BX492">
        <v>10463</v>
      </c>
      <c r="BY492">
        <v>713.3</v>
      </c>
    </row>
    <row r="493" spans="49:77" x14ac:dyDescent="0.3">
      <c r="AW493" t="s">
        <v>8</v>
      </c>
      <c r="AX493" t="s">
        <v>14</v>
      </c>
      <c r="AY493" s="62">
        <v>38430</v>
      </c>
      <c r="AZ493">
        <v>10943</v>
      </c>
      <c r="BA493">
        <v>711</v>
      </c>
      <c r="BU493" t="s">
        <v>8</v>
      </c>
      <c r="BV493" t="s">
        <v>14</v>
      </c>
      <c r="BW493" s="62">
        <v>38430</v>
      </c>
      <c r="BX493">
        <v>10943</v>
      </c>
      <c r="BY493">
        <v>711</v>
      </c>
    </row>
    <row r="494" spans="49:77" x14ac:dyDescent="0.3">
      <c r="AW494" t="s">
        <v>8</v>
      </c>
      <c r="AX494" t="s">
        <v>14</v>
      </c>
      <c r="AY494" s="62">
        <v>38414</v>
      </c>
      <c r="AZ494">
        <v>10875</v>
      </c>
      <c r="BA494">
        <v>709.55</v>
      </c>
      <c r="BU494" t="s">
        <v>8</v>
      </c>
      <c r="BV494" t="s">
        <v>14</v>
      </c>
      <c r="BW494" s="62">
        <v>38414</v>
      </c>
      <c r="BX494">
        <v>10875</v>
      </c>
      <c r="BY494">
        <v>709.55</v>
      </c>
    </row>
    <row r="495" spans="49:77" x14ac:dyDescent="0.3">
      <c r="AW495" t="s">
        <v>8</v>
      </c>
      <c r="AX495" t="s">
        <v>14</v>
      </c>
      <c r="AY495" s="62">
        <v>38227</v>
      </c>
      <c r="AZ495">
        <v>10640</v>
      </c>
      <c r="BA495">
        <v>708.75</v>
      </c>
      <c r="BU495" t="s">
        <v>8</v>
      </c>
      <c r="BV495" t="s">
        <v>14</v>
      </c>
      <c r="BW495" s="62">
        <v>38227</v>
      </c>
      <c r="BX495">
        <v>10640</v>
      </c>
      <c r="BY495">
        <v>708.75</v>
      </c>
    </row>
    <row r="496" spans="49:77" x14ac:dyDescent="0.3">
      <c r="AW496" t="s">
        <v>8</v>
      </c>
      <c r="AX496" t="s">
        <v>14</v>
      </c>
      <c r="AY496" s="62">
        <v>38287</v>
      </c>
      <c r="AZ496">
        <v>10716</v>
      </c>
      <c r="BA496">
        <v>706</v>
      </c>
      <c r="BU496" t="s">
        <v>8</v>
      </c>
      <c r="BV496" t="s">
        <v>14</v>
      </c>
      <c r="BW496" s="62">
        <v>38287</v>
      </c>
      <c r="BX496">
        <v>10716</v>
      </c>
      <c r="BY496">
        <v>706</v>
      </c>
    </row>
    <row r="497" spans="49:77" x14ac:dyDescent="0.3">
      <c r="AW497" t="s">
        <v>7</v>
      </c>
      <c r="AX497" t="s">
        <v>288</v>
      </c>
      <c r="AY497" s="62">
        <v>38235</v>
      </c>
      <c r="AZ497">
        <v>10642</v>
      </c>
      <c r="BA497">
        <v>696</v>
      </c>
      <c r="BU497" t="s">
        <v>7</v>
      </c>
      <c r="BV497" t="s">
        <v>288</v>
      </c>
      <c r="BW497" s="62">
        <v>38235</v>
      </c>
      <c r="BX497">
        <v>10642</v>
      </c>
      <c r="BY497">
        <v>696</v>
      </c>
    </row>
    <row r="498" spans="49:77" x14ac:dyDescent="0.3">
      <c r="AW498" t="s">
        <v>7</v>
      </c>
      <c r="AX498" t="s">
        <v>13</v>
      </c>
      <c r="AY498" s="62">
        <v>37856</v>
      </c>
      <c r="AZ498">
        <v>10264</v>
      </c>
      <c r="BA498">
        <v>695.62</v>
      </c>
      <c r="BU498" t="s">
        <v>7</v>
      </c>
      <c r="BV498" t="s">
        <v>13</v>
      </c>
      <c r="BW498" s="62">
        <v>37856</v>
      </c>
      <c r="BX498">
        <v>10264</v>
      </c>
      <c r="BY498">
        <v>695.62</v>
      </c>
    </row>
    <row r="499" spans="49:77" x14ac:dyDescent="0.3">
      <c r="AW499" t="s">
        <v>8</v>
      </c>
      <c r="AX499" t="s">
        <v>287</v>
      </c>
      <c r="AY499" s="62">
        <v>37978</v>
      </c>
      <c r="AZ499">
        <v>10385</v>
      </c>
      <c r="BA499">
        <v>691.2</v>
      </c>
      <c r="BU499" t="s">
        <v>8</v>
      </c>
      <c r="BV499" t="s">
        <v>287</v>
      </c>
      <c r="BW499" s="62">
        <v>37978</v>
      </c>
      <c r="BX499">
        <v>10385</v>
      </c>
      <c r="BY499">
        <v>691.2</v>
      </c>
    </row>
    <row r="500" spans="49:77" x14ac:dyDescent="0.3">
      <c r="AW500" t="s">
        <v>8</v>
      </c>
      <c r="AX500" t="s">
        <v>287</v>
      </c>
      <c r="AY500" s="62">
        <v>38420</v>
      </c>
      <c r="AZ500">
        <v>10916</v>
      </c>
      <c r="BA500">
        <v>686.7</v>
      </c>
      <c r="BU500" t="s">
        <v>8</v>
      </c>
      <c r="BV500" t="s">
        <v>287</v>
      </c>
      <c r="BW500" s="62">
        <v>38420</v>
      </c>
      <c r="BX500">
        <v>10916</v>
      </c>
      <c r="BY500">
        <v>686.7</v>
      </c>
    </row>
    <row r="501" spans="49:77" x14ac:dyDescent="0.3">
      <c r="AW501" t="s">
        <v>8</v>
      </c>
      <c r="AX501" t="s">
        <v>289</v>
      </c>
      <c r="AY501" s="62">
        <v>38459</v>
      </c>
      <c r="AZ501">
        <v>10998</v>
      </c>
      <c r="BA501">
        <v>686</v>
      </c>
      <c r="BU501" t="s">
        <v>8</v>
      </c>
      <c r="BV501" t="s">
        <v>289</v>
      </c>
      <c r="BW501" s="62">
        <v>38459</v>
      </c>
      <c r="BX501">
        <v>10998</v>
      </c>
      <c r="BY501">
        <v>686</v>
      </c>
    </row>
    <row r="502" spans="49:77" x14ac:dyDescent="0.3">
      <c r="AW502" t="s">
        <v>7</v>
      </c>
      <c r="AX502" t="s">
        <v>288</v>
      </c>
      <c r="AY502" s="62">
        <v>38144</v>
      </c>
      <c r="AZ502">
        <v>10550</v>
      </c>
      <c r="BA502">
        <v>683.3</v>
      </c>
      <c r="BU502" t="s">
        <v>7</v>
      </c>
      <c r="BV502" t="s">
        <v>288</v>
      </c>
      <c r="BW502" s="62">
        <v>38144</v>
      </c>
      <c r="BX502">
        <v>10550</v>
      </c>
      <c r="BY502">
        <v>683.3</v>
      </c>
    </row>
    <row r="503" spans="49:77" x14ac:dyDescent="0.3">
      <c r="AW503" t="s">
        <v>8</v>
      </c>
      <c r="AX503" t="s">
        <v>287</v>
      </c>
      <c r="AY503" s="62">
        <v>38367</v>
      </c>
      <c r="AZ503">
        <v>10821</v>
      </c>
      <c r="BA503">
        <v>678</v>
      </c>
      <c r="BU503" t="s">
        <v>8</v>
      </c>
      <c r="BV503" t="s">
        <v>287</v>
      </c>
      <c r="BW503" s="62">
        <v>38367</v>
      </c>
      <c r="BX503">
        <v>10821</v>
      </c>
      <c r="BY503">
        <v>678</v>
      </c>
    </row>
    <row r="504" spans="49:77" x14ac:dyDescent="0.3">
      <c r="AW504" t="s">
        <v>7</v>
      </c>
      <c r="AX504" t="s">
        <v>13</v>
      </c>
      <c r="AY504" s="62">
        <v>38431</v>
      </c>
      <c r="AZ504">
        <v>10956</v>
      </c>
      <c r="BA504">
        <v>677</v>
      </c>
      <c r="BU504" t="s">
        <v>7</v>
      </c>
      <c r="BV504" t="s">
        <v>13</v>
      </c>
      <c r="BW504" s="62">
        <v>38431</v>
      </c>
      <c r="BX504">
        <v>10956</v>
      </c>
      <c r="BY504">
        <v>677</v>
      </c>
    </row>
    <row r="505" spans="49:77" x14ac:dyDescent="0.3">
      <c r="AW505" t="s">
        <v>8</v>
      </c>
      <c r="AX505" t="s">
        <v>287</v>
      </c>
      <c r="AY505" s="62">
        <v>38421</v>
      </c>
      <c r="AZ505">
        <v>10909</v>
      </c>
      <c r="BA505">
        <v>670</v>
      </c>
      <c r="BU505" t="s">
        <v>8</v>
      </c>
      <c r="BV505" t="s">
        <v>287</v>
      </c>
      <c r="BW505" s="62">
        <v>38421</v>
      </c>
      <c r="BX505">
        <v>10909</v>
      </c>
      <c r="BY505">
        <v>670</v>
      </c>
    </row>
    <row r="506" spans="49:77" x14ac:dyDescent="0.3">
      <c r="AW506" t="s">
        <v>7</v>
      </c>
      <c r="AX506" t="s">
        <v>288</v>
      </c>
      <c r="AY506" s="62">
        <v>38102</v>
      </c>
      <c r="AZ506">
        <v>10483</v>
      </c>
      <c r="BA506">
        <v>668.8</v>
      </c>
      <c r="BU506" t="s">
        <v>7</v>
      </c>
      <c r="BV506" t="s">
        <v>288</v>
      </c>
      <c r="BW506" s="62">
        <v>38102</v>
      </c>
      <c r="BX506">
        <v>10483</v>
      </c>
      <c r="BY506">
        <v>668.8</v>
      </c>
    </row>
    <row r="507" spans="49:77" x14ac:dyDescent="0.3">
      <c r="AW507" t="s">
        <v>8</v>
      </c>
      <c r="AX507" t="s">
        <v>14</v>
      </c>
      <c r="AY507" s="62">
        <v>38417</v>
      </c>
      <c r="AZ507">
        <v>10908</v>
      </c>
      <c r="BA507">
        <v>663.1</v>
      </c>
      <c r="BU507" t="s">
        <v>8</v>
      </c>
      <c r="BV507" t="s">
        <v>14</v>
      </c>
      <c r="BW507" s="62">
        <v>38417</v>
      </c>
      <c r="BX507">
        <v>10908</v>
      </c>
      <c r="BY507">
        <v>663.1</v>
      </c>
    </row>
    <row r="508" spans="49:77" x14ac:dyDescent="0.3">
      <c r="AW508" t="s">
        <v>8</v>
      </c>
      <c r="AX508" t="s">
        <v>289</v>
      </c>
      <c r="AY508" s="62">
        <v>38260</v>
      </c>
      <c r="AZ508">
        <v>10679</v>
      </c>
      <c r="BA508">
        <v>660</v>
      </c>
      <c r="BU508" t="s">
        <v>8</v>
      </c>
      <c r="BV508" t="s">
        <v>289</v>
      </c>
      <c r="BW508" s="62">
        <v>38260</v>
      </c>
      <c r="BX508">
        <v>10679</v>
      </c>
      <c r="BY508">
        <v>660</v>
      </c>
    </row>
    <row r="509" spans="49:77" x14ac:dyDescent="0.3">
      <c r="AW509" t="s">
        <v>8</v>
      </c>
      <c r="AX509" t="s">
        <v>15</v>
      </c>
      <c r="AY509" s="62">
        <v>38393</v>
      </c>
      <c r="AZ509">
        <v>10856</v>
      </c>
      <c r="BA509">
        <v>660</v>
      </c>
      <c r="BU509" t="s">
        <v>8</v>
      </c>
      <c r="BV509" t="s">
        <v>15</v>
      </c>
      <c r="BW509" s="62">
        <v>38393</v>
      </c>
      <c r="BX509">
        <v>10856</v>
      </c>
      <c r="BY509">
        <v>660</v>
      </c>
    </row>
    <row r="510" spans="49:77" x14ac:dyDescent="0.3">
      <c r="AW510" t="s">
        <v>8</v>
      </c>
      <c r="AX510" t="s">
        <v>14</v>
      </c>
      <c r="AY510" s="62">
        <v>38326</v>
      </c>
      <c r="AZ510">
        <v>10726</v>
      </c>
      <c r="BA510">
        <v>655</v>
      </c>
      <c r="BU510" t="s">
        <v>8</v>
      </c>
      <c r="BV510" t="s">
        <v>14</v>
      </c>
      <c r="BW510" s="62">
        <v>38326</v>
      </c>
      <c r="BX510">
        <v>10726</v>
      </c>
      <c r="BY510">
        <v>655</v>
      </c>
    </row>
    <row r="511" spans="49:77" x14ac:dyDescent="0.3">
      <c r="AW511" t="s">
        <v>8</v>
      </c>
      <c r="AX511" t="s">
        <v>15</v>
      </c>
      <c r="AY511" s="62">
        <v>37817</v>
      </c>
      <c r="AZ511">
        <v>10251</v>
      </c>
      <c r="BA511">
        <v>654.05999999999995</v>
      </c>
      <c r="BU511" t="s">
        <v>8</v>
      </c>
      <c r="BV511" t="s">
        <v>15</v>
      </c>
      <c r="BW511" s="62">
        <v>37817</v>
      </c>
      <c r="BX511">
        <v>10251</v>
      </c>
      <c r="BY511">
        <v>654.05999999999995</v>
      </c>
    </row>
    <row r="512" spans="49:77" x14ac:dyDescent="0.3">
      <c r="AW512" t="s">
        <v>8</v>
      </c>
      <c r="AX512" t="s">
        <v>14</v>
      </c>
      <c r="AY512" s="62">
        <v>38049</v>
      </c>
      <c r="AZ512">
        <v>10427</v>
      </c>
      <c r="BA512">
        <v>651</v>
      </c>
      <c r="BU512" t="s">
        <v>8</v>
      </c>
      <c r="BV512" t="s">
        <v>14</v>
      </c>
      <c r="BW512" s="62">
        <v>38049</v>
      </c>
      <c r="BX512">
        <v>10427</v>
      </c>
      <c r="BY512">
        <v>651</v>
      </c>
    </row>
    <row r="513" spans="49:77" x14ac:dyDescent="0.3">
      <c r="AW513" t="s">
        <v>8</v>
      </c>
      <c r="AX513" t="s">
        <v>18</v>
      </c>
      <c r="AY513" s="62">
        <v>38386</v>
      </c>
      <c r="AZ513">
        <v>10858</v>
      </c>
      <c r="BA513">
        <v>649</v>
      </c>
      <c r="BU513" t="s">
        <v>8</v>
      </c>
      <c r="BV513" t="s">
        <v>18</v>
      </c>
      <c r="BW513" s="62">
        <v>38386</v>
      </c>
      <c r="BX513">
        <v>10858</v>
      </c>
      <c r="BY513">
        <v>649</v>
      </c>
    </row>
    <row r="514" spans="49:77" x14ac:dyDescent="0.3">
      <c r="AW514" t="s">
        <v>8</v>
      </c>
      <c r="AX514" t="s">
        <v>18</v>
      </c>
      <c r="AY514" s="62">
        <v>38463</v>
      </c>
      <c r="AZ514">
        <v>11010</v>
      </c>
      <c r="BA514">
        <v>645</v>
      </c>
      <c r="BU514" t="s">
        <v>8</v>
      </c>
      <c r="BV514" t="s">
        <v>18</v>
      </c>
      <c r="BW514" s="62">
        <v>38463</v>
      </c>
      <c r="BX514">
        <v>11010</v>
      </c>
      <c r="BY514">
        <v>645</v>
      </c>
    </row>
    <row r="515" spans="49:77" x14ac:dyDescent="0.3">
      <c r="AW515" t="s">
        <v>7</v>
      </c>
      <c r="AX515" t="s">
        <v>288</v>
      </c>
      <c r="AY515" s="62">
        <v>38424</v>
      </c>
      <c r="AZ515">
        <v>10937</v>
      </c>
      <c r="BA515">
        <v>644.79999999999995</v>
      </c>
      <c r="BU515" t="s">
        <v>7</v>
      </c>
      <c r="BV515" t="s">
        <v>288</v>
      </c>
      <c r="BW515" s="62">
        <v>38424</v>
      </c>
      <c r="BX515">
        <v>10937</v>
      </c>
      <c r="BY515">
        <v>644.79999999999995</v>
      </c>
    </row>
    <row r="516" spans="49:77" x14ac:dyDescent="0.3">
      <c r="AW516" t="s">
        <v>7</v>
      </c>
      <c r="AX516" t="s">
        <v>17</v>
      </c>
      <c r="AY516" s="62">
        <v>37842</v>
      </c>
      <c r="AZ516">
        <v>10269</v>
      </c>
      <c r="BA516">
        <v>642.20000000000005</v>
      </c>
      <c r="BU516" t="s">
        <v>7</v>
      </c>
      <c r="BV516" t="s">
        <v>17</v>
      </c>
      <c r="BW516" s="62">
        <v>37842</v>
      </c>
      <c r="BX516">
        <v>10269</v>
      </c>
      <c r="BY516">
        <v>642.20000000000005</v>
      </c>
    </row>
    <row r="517" spans="49:77" x14ac:dyDescent="0.3">
      <c r="AW517" t="s">
        <v>7</v>
      </c>
      <c r="AX517" t="s">
        <v>13</v>
      </c>
      <c r="AY517" s="62">
        <v>37958</v>
      </c>
      <c r="AZ517">
        <v>10350</v>
      </c>
      <c r="BA517">
        <v>642.05999999999995</v>
      </c>
      <c r="BU517" t="s">
        <v>7</v>
      </c>
      <c r="BV517" t="s">
        <v>13</v>
      </c>
      <c r="BW517" s="62">
        <v>37958</v>
      </c>
      <c r="BX517">
        <v>10350</v>
      </c>
      <c r="BY517">
        <v>642.05999999999995</v>
      </c>
    </row>
    <row r="518" spans="49:77" x14ac:dyDescent="0.3">
      <c r="AW518" t="s">
        <v>7</v>
      </c>
      <c r="AX518" t="s">
        <v>288</v>
      </c>
      <c r="AY518" s="62">
        <v>38274</v>
      </c>
      <c r="AZ518">
        <v>10695</v>
      </c>
      <c r="BA518">
        <v>642</v>
      </c>
      <c r="BU518" t="s">
        <v>7</v>
      </c>
      <c r="BV518" t="s">
        <v>288</v>
      </c>
      <c r="BW518" s="62">
        <v>38274</v>
      </c>
      <c r="BX518">
        <v>10695</v>
      </c>
      <c r="BY518">
        <v>642</v>
      </c>
    </row>
    <row r="519" spans="49:77" x14ac:dyDescent="0.3">
      <c r="AW519" t="s">
        <v>8</v>
      </c>
      <c r="AX519" t="s">
        <v>289</v>
      </c>
      <c r="AY519" s="62">
        <v>38156</v>
      </c>
      <c r="AZ519">
        <v>10565</v>
      </c>
      <c r="BA519">
        <v>639.9</v>
      </c>
      <c r="BU519" t="s">
        <v>8</v>
      </c>
      <c r="BV519" t="s">
        <v>289</v>
      </c>
      <c r="BW519" s="62">
        <v>38156</v>
      </c>
      <c r="BX519">
        <v>10565</v>
      </c>
      <c r="BY519">
        <v>639.9</v>
      </c>
    </row>
    <row r="520" spans="49:77" x14ac:dyDescent="0.3">
      <c r="AW520" t="s">
        <v>8</v>
      </c>
      <c r="AX520" t="s">
        <v>289</v>
      </c>
      <c r="AY520" s="62">
        <v>38296</v>
      </c>
      <c r="AZ520">
        <v>10724</v>
      </c>
      <c r="BA520">
        <v>638.5</v>
      </c>
      <c r="BU520" t="s">
        <v>8</v>
      </c>
      <c r="BV520" t="s">
        <v>289</v>
      </c>
      <c r="BW520" s="62">
        <v>38296</v>
      </c>
      <c r="BX520">
        <v>10724</v>
      </c>
      <c r="BY520">
        <v>638.5</v>
      </c>
    </row>
    <row r="521" spans="49:77" x14ac:dyDescent="0.3">
      <c r="AW521" t="s">
        <v>8</v>
      </c>
      <c r="AX521" t="s">
        <v>18</v>
      </c>
      <c r="AY521" s="62">
        <v>38424</v>
      </c>
      <c r="AZ521">
        <v>10939</v>
      </c>
      <c r="BA521">
        <v>637.5</v>
      </c>
      <c r="BU521" t="s">
        <v>8</v>
      </c>
      <c r="BV521" t="s">
        <v>18</v>
      </c>
      <c r="BW521" s="62">
        <v>38424</v>
      </c>
      <c r="BX521">
        <v>10939</v>
      </c>
      <c r="BY521">
        <v>637.5</v>
      </c>
    </row>
    <row r="522" spans="49:77" x14ac:dyDescent="0.3">
      <c r="AW522" t="s">
        <v>8</v>
      </c>
      <c r="AX522" t="s">
        <v>14</v>
      </c>
      <c r="AY522" s="62">
        <v>38233</v>
      </c>
      <c r="AZ522">
        <v>10647</v>
      </c>
      <c r="BA522">
        <v>636</v>
      </c>
      <c r="BU522" t="s">
        <v>8</v>
      </c>
      <c r="BV522" t="s">
        <v>14</v>
      </c>
      <c r="BW522" s="62">
        <v>38233</v>
      </c>
      <c r="BX522">
        <v>10647</v>
      </c>
      <c r="BY522">
        <v>636</v>
      </c>
    </row>
    <row r="523" spans="49:77" x14ac:dyDescent="0.3">
      <c r="AW523" t="s">
        <v>8</v>
      </c>
      <c r="AX523" t="s">
        <v>18</v>
      </c>
      <c r="AY523" s="62">
        <v>38458</v>
      </c>
      <c r="AZ523">
        <v>11020</v>
      </c>
      <c r="BA523">
        <v>632.4</v>
      </c>
      <c r="BU523" t="s">
        <v>8</v>
      </c>
      <c r="BV523" t="s">
        <v>18</v>
      </c>
      <c r="BW523" s="62">
        <v>38458</v>
      </c>
      <c r="BX523">
        <v>11020</v>
      </c>
      <c r="BY523">
        <v>632.4</v>
      </c>
    </row>
    <row r="524" spans="49:77" x14ac:dyDescent="0.3">
      <c r="AW524" t="s">
        <v>8</v>
      </c>
      <c r="AX524" t="s">
        <v>289</v>
      </c>
      <c r="AY524" s="62">
        <v>38024</v>
      </c>
      <c r="AZ524">
        <v>10435</v>
      </c>
      <c r="BA524">
        <v>631.6</v>
      </c>
      <c r="BU524" t="s">
        <v>8</v>
      </c>
      <c r="BV524" t="s">
        <v>289</v>
      </c>
      <c r="BW524" s="62">
        <v>38024</v>
      </c>
      <c r="BX524">
        <v>10435</v>
      </c>
      <c r="BY524">
        <v>631.6</v>
      </c>
    </row>
    <row r="525" spans="49:77" x14ac:dyDescent="0.3">
      <c r="AW525" t="s">
        <v>8</v>
      </c>
      <c r="AX525" t="s">
        <v>14</v>
      </c>
      <c r="AY525" s="62">
        <v>38225</v>
      </c>
      <c r="AZ525">
        <v>10636</v>
      </c>
      <c r="BA525">
        <v>629.5</v>
      </c>
      <c r="BU525" t="s">
        <v>8</v>
      </c>
      <c r="BV525" t="s">
        <v>14</v>
      </c>
      <c r="BW525" s="62">
        <v>38225</v>
      </c>
      <c r="BX525">
        <v>10636</v>
      </c>
      <c r="BY525">
        <v>629.5</v>
      </c>
    </row>
    <row r="526" spans="49:77" x14ac:dyDescent="0.3">
      <c r="AW526" t="s">
        <v>8</v>
      </c>
      <c r="AX526" t="s">
        <v>287</v>
      </c>
      <c r="AY526" s="62">
        <v>38382</v>
      </c>
      <c r="AZ526">
        <v>10850</v>
      </c>
      <c r="BA526">
        <v>629</v>
      </c>
      <c r="BU526" t="s">
        <v>8</v>
      </c>
      <c r="BV526" t="s">
        <v>287</v>
      </c>
      <c r="BW526" s="62">
        <v>38382</v>
      </c>
      <c r="BX526">
        <v>10850</v>
      </c>
      <c r="BY526">
        <v>629</v>
      </c>
    </row>
    <row r="527" spans="49:77" x14ac:dyDescent="0.3">
      <c r="AW527" t="s">
        <v>8</v>
      </c>
      <c r="AX527" t="s">
        <v>287</v>
      </c>
      <c r="AY527" s="62">
        <v>38253</v>
      </c>
      <c r="AZ527">
        <v>10668</v>
      </c>
      <c r="BA527">
        <v>625.27</v>
      </c>
      <c r="BU527" t="s">
        <v>8</v>
      </c>
      <c r="BV527" t="s">
        <v>287</v>
      </c>
      <c r="BW527" s="62">
        <v>38253</v>
      </c>
      <c r="BX527">
        <v>10668</v>
      </c>
      <c r="BY527">
        <v>625.27</v>
      </c>
    </row>
    <row r="528" spans="49:77" x14ac:dyDescent="0.3">
      <c r="AW528" t="s">
        <v>7</v>
      </c>
      <c r="AX528" t="s">
        <v>16</v>
      </c>
      <c r="AY528" s="62">
        <v>38386</v>
      </c>
      <c r="AZ528">
        <v>10853</v>
      </c>
      <c r="BA528">
        <v>625</v>
      </c>
      <c r="BU528" t="s">
        <v>7</v>
      </c>
      <c r="BV528" t="s">
        <v>16</v>
      </c>
      <c r="BW528" s="62">
        <v>38386</v>
      </c>
      <c r="BX528">
        <v>10853</v>
      </c>
      <c r="BY528">
        <v>625</v>
      </c>
    </row>
    <row r="529" spans="49:77" x14ac:dyDescent="0.3">
      <c r="AW529" t="s">
        <v>8</v>
      </c>
      <c r="AX529" t="s">
        <v>18</v>
      </c>
      <c r="AY529" s="62">
        <v>38462</v>
      </c>
      <c r="AZ529">
        <v>11015</v>
      </c>
      <c r="BA529">
        <v>622.35</v>
      </c>
      <c r="BU529" t="s">
        <v>8</v>
      </c>
      <c r="BV529" t="s">
        <v>18</v>
      </c>
      <c r="BW529" s="62">
        <v>38462</v>
      </c>
      <c r="BX529">
        <v>11015</v>
      </c>
      <c r="BY529">
        <v>622.35</v>
      </c>
    </row>
    <row r="530" spans="49:77" x14ac:dyDescent="0.3">
      <c r="AW530" t="s">
        <v>8</v>
      </c>
      <c r="AX530" t="s">
        <v>14</v>
      </c>
      <c r="AY530" s="62">
        <v>38429</v>
      </c>
      <c r="AZ530">
        <v>10935</v>
      </c>
      <c r="BA530">
        <v>619.5</v>
      </c>
      <c r="BU530" t="s">
        <v>8</v>
      </c>
      <c r="BV530" t="s">
        <v>14</v>
      </c>
      <c r="BW530" s="62">
        <v>38429</v>
      </c>
      <c r="BX530">
        <v>10935</v>
      </c>
      <c r="BY530">
        <v>619.5</v>
      </c>
    </row>
    <row r="531" spans="49:77" x14ac:dyDescent="0.3">
      <c r="AW531" t="s">
        <v>8</v>
      </c>
      <c r="AX531" t="s">
        <v>18</v>
      </c>
      <c r="AY531" s="62">
        <v>38452</v>
      </c>
      <c r="AZ531">
        <v>11009</v>
      </c>
      <c r="BA531">
        <v>616.5</v>
      </c>
      <c r="BU531" t="s">
        <v>8</v>
      </c>
      <c r="BV531" t="s">
        <v>18</v>
      </c>
      <c r="BW531" s="62">
        <v>38452</v>
      </c>
      <c r="BX531">
        <v>11009</v>
      </c>
      <c r="BY531">
        <v>616.5</v>
      </c>
    </row>
    <row r="532" spans="49:77" x14ac:dyDescent="0.3">
      <c r="AW532" t="s">
        <v>8</v>
      </c>
      <c r="AX532" t="s">
        <v>15</v>
      </c>
      <c r="AY532" s="62">
        <v>38329</v>
      </c>
      <c r="AZ532">
        <v>10763</v>
      </c>
      <c r="BA532">
        <v>616</v>
      </c>
      <c r="BU532" t="s">
        <v>8</v>
      </c>
      <c r="BV532" t="s">
        <v>15</v>
      </c>
      <c r="BW532" s="62">
        <v>38329</v>
      </c>
      <c r="BX532">
        <v>10763</v>
      </c>
      <c r="BY532">
        <v>616</v>
      </c>
    </row>
    <row r="533" spans="49:77" x14ac:dyDescent="0.3">
      <c r="AW533" t="s">
        <v>8</v>
      </c>
      <c r="AX533" t="s">
        <v>18</v>
      </c>
      <c r="AY533" s="62">
        <v>37876</v>
      </c>
      <c r="AZ533">
        <v>10280</v>
      </c>
      <c r="BA533">
        <v>613.20000000000005</v>
      </c>
      <c r="BU533" t="s">
        <v>8</v>
      </c>
      <c r="BV533" t="s">
        <v>18</v>
      </c>
      <c r="BW533" s="62">
        <v>37876</v>
      </c>
      <c r="BX533">
        <v>10280</v>
      </c>
      <c r="BY533">
        <v>613.20000000000005</v>
      </c>
    </row>
    <row r="534" spans="49:77" x14ac:dyDescent="0.3">
      <c r="AW534" t="s">
        <v>8</v>
      </c>
      <c r="AX534" t="s">
        <v>15</v>
      </c>
      <c r="AY534" s="62">
        <v>38395</v>
      </c>
      <c r="AZ534">
        <v>10879</v>
      </c>
      <c r="BA534">
        <v>611.29999999999995</v>
      </c>
      <c r="BU534" t="s">
        <v>8</v>
      </c>
      <c r="BV534" t="s">
        <v>15</v>
      </c>
      <c r="BW534" s="62">
        <v>38395</v>
      </c>
      <c r="BX534">
        <v>10879</v>
      </c>
      <c r="BY534">
        <v>611.29999999999995</v>
      </c>
    </row>
    <row r="535" spans="49:77" x14ac:dyDescent="0.3">
      <c r="AW535" t="s">
        <v>8</v>
      </c>
      <c r="AX535" t="s">
        <v>14</v>
      </c>
      <c r="AY535" s="62">
        <v>38087</v>
      </c>
      <c r="AZ535">
        <v>10493</v>
      </c>
      <c r="BA535">
        <v>608.4</v>
      </c>
      <c r="BU535" t="s">
        <v>8</v>
      </c>
      <c r="BV535" t="s">
        <v>14</v>
      </c>
      <c r="BW535" s="62">
        <v>38087</v>
      </c>
      <c r="BX535">
        <v>10493</v>
      </c>
      <c r="BY535">
        <v>608.4</v>
      </c>
    </row>
    <row r="536" spans="49:77" x14ac:dyDescent="0.3">
      <c r="AW536" t="s">
        <v>8</v>
      </c>
      <c r="AX536" t="s">
        <v>18</v>
      </c>
      <c r="AY536" s="62">
        <v>37882</v>
      </c>
      <c r="AZ536">
        <v>10300</v>
      </c>
      <c r="BA536">
        <v>608</v>
      </c>
      <c r="BU536" t="s">
        <v>8</v>
      </c>
      <c r="BV536" t="s">
        <v>18</v>
      </c>
      <c r="BW536" s="62">
        <v>37882</v>
      </c>
      <c r="BX536">
        <v>10300</v>
      </c>
      <c r="BY536">
        <v>608</v>
      </c>
    </row>
    <row r="537" spans="49:77" x14ac:dyDescent="0.3">
      <c r="AW537" t="s">
        <v>8</v>
      </c>
      <c r="AX537" t="s">
        <v>287</v>
      </c>
      <c r="AY537" s="62">
        <v>38406</v>
      </c>
      <c r="AZ537">
        <v>10888</v>
      </c>
      <c r="BA537">
        <v>605</v>
      </c>
      <c r="BU537" t="s">
        <v>8</v>
      </c>
      <c r="BV537" t="s">
        <v>287</v>
      </c>
      <c r="BW537" s="62">
        <v>38406</v>
      </c>
      <c r="BX537">
        <v>10888</v>
      </c>
      <c r="BY537">
        <v>605</v>
      </c>
    </row>
    <row r="538" spans="49:77" x14ac:dyDescent="0.3">
      <c r="AW538" t="s">
        <v>7</v>
      </c>
      <c r="AX538" t="s">
        <v>13</v>
      </c>
      <c r="AY538" s="62">
        <v>38240</v>
      </c>
      <c r="AZ538">
        <v>10656</v>
      </c>
      <c r="BA538">
        <v>604.21</v>
      </c>
      <c r="BU538" t="s">
        <v>7</v>
      </c>
      <c r="BV538" t="s">
        <v>13</v>
      </c>
      <c r="BW538" s="62">
        <v>38240</v>
      </c>
      <c r="BX538">
        <v>10656</v>
      </c>
      <c r="BY538">
        <v>604.21</v>
      </c>
    </row>
    <row r="539" spans="49:77" x14ac:dyDescent="0.3">
      <c r="AW539" t="s">
        <v>8</v>
      </c>
      <c r="AX539" t="s">
        <v>287</v>
      </c>
      <c r="AY539" s="62">
        <v>38361</v>
      </c>
      <c r="AZ539">
        <v>10813</v>
      </c>
      <c r="BA539">
        <v>602.4</v>
      </c>
      <c r="BU539" t="s">
        <v>8</v>
      </c>
      <c r="BV539" t="s">
        <v>287</v>
      </c>
      <c r="BW539" s="62">
        <v>38361</v>
      </c>
      <c r="BX539">
        <v>10813</v>
      </c>
      <c r="BY539">
        <v>602.4</v>
      </c>
    </row>
    <row r="540" spans="49:77" x14ac:dyDescent="0.3">
      <c r="AW540" t="s">
        <v>7</v>
      </c>
      <c r="AX540" t="s">
        <v>17</v>
      </c>
      <c r="AY540" s="62">
        <v>38241</v>
      </c>
      <c r="AZ540">
        <v>10654</v>
      </c>
      <c r="BA540">
        <v>601.83000000000004</v>
      </c>
      <c r="BU540" t="s">
        <v>7</v>
      </c>
      <c r="BV540" t="s">
        <v>17</v>
      </c>
      <c r="BW540" s="62">
        <v>38241</v>
      </c>
      <c r="BX540">
        <v>10654</v>
      </c>
      <c r="BY540">
        <v>601.83000000000004</v>
      </c>
    </row>
    <row r="541" spans="49:77" x14ac:dyDescent="0.3">
      <c r="AW541" t="s">
        <v>7</v>
      </c>
      <c r="AX541" t="s">
        <v>13</v>
      </c>
      <c r="AY541" s="62">
        <v>38298</v>
      </c>
      <c r="AZ541">
        <v>10704</v>
      </c>
      <c r="BA541">
        <v>595.5</v>
      </c>
      <c r="BU541" t="s">
        <v>7</v>
      </c>
      <c r="BV541" t="s">
        <v>13</v>
      </c>
      <c r="BW541" s="62">
        <v>38298</v>
      </c>
      <c r="BX541">
        <v>10704</v>
      </c>
      <c r="BY541">
        <v>595.5</v>
      </c>
    </row>
    <row r="542" spans="49:77" x14ac:dyDescent="0.3">
      <c r="AW542" t="s">
        <v>8</v>
      </c>
      <c r="AX542" t="s">
        <v>14</v>
      </c>
      <c r="AY542" s="62">
        <v>38172</v>
      </c>
      <c r="AZ542">
        <v>10584</v>
      </c>
      <c r="BA542">
        <v>593.75</v>
      </c>
      <c r="BU542" t="s">
        <v>8</v>
      </c>
      <c r="BV542" t="s">
        <v>14</v>
      </c>
      <c r="BW542" s="62">
        <v>38172</v>
      </c>
      <c r="BX542">
        <v>10584</v>
      </c>
      <c r="BY542">
        <v>593.75</v>
      </c>
    </row>
    <row r="543" spans="49:77" x14ac:dyDescent="0.3">
      <c r="AW543" t="s">
        <v>8</v>
      </c>
      <c r="AX543" t="s">
        <v>14</v>
      </c>
      <c r="AY543" s="62">
        <v>38473</v>
      </c>
      <c r="AZ543">
        <v>11044</v>
      </c>
      <c r="BA543">
        <v>591.6</v>
      </c>
      <c r="BU543" t="s">
        <v>8</v>
      </c>
      <c r="BV543" t="s">
        <v>14</v>
      </c>
      <c r="BW543" s="62">
        <v>38473</v>
      </c>
      <c r="BX543">
        <v>11044</v>
      </c>
      <c r="BY543">
        <v>591.6</v>
      </c>
    </row>
    <row r="544" spans="49:77" x14ac:dyDescent="0.3">
      <c r="AW544" t="s">
        <v>8</v>
      </c>
      <c r="AX544" t="s">
        <v>289</v>
      </c>
      <c r="AY544" s="62">
        <v>38218</v>
      </c>
      <c r="AZ544">
        <v>10632</v>
      </c>
      <c r="BA544">
        <v>589</v>
      </c>
      <c r="BU544" t="s">
        <v>8</v>
      </c>
      <c r="BV544" t="s">
        <v>289</v>
      </c>
      <c r="BW544" s="62">
        <v>38218</v>
      </c>
      <c r="BX544">
        <v>10632</v>
      </c>
      <c r="BY544">
        <v>589</v>
      </c>
    </row>
    <row r="545" spans="49:77" x14ac:dyDescent="0.3">
      <c r="AW545" t="s">
        <v>8</v>
      </c>
      <c r="AX545" t="s">
        <v>18</v>
      </c>
      <c r="AY545" s="62">
        <v>38452</v>
      </c>
      <c r="AZ545">
        <v>11005</v>
      </c>
      <c r="BA545">
        <v>586</v>
      </c>
      <c r="BU545" t="s">
        <v>8</v>
      </c>
      <c r="BV545" t="s">
        <v>18</v>
      </c>
      <c r="BW545" s="62">
        <v>38452</v>
      </c>
      <c r="BX545">
        <v>11005</v>
      </c>
      <c r="BY545">
        <v>586</v>
      </c>
    </row>
    <row r="546" spans="49:77" x14ac:dyDescent="0.3">
      <c r="AW546" t="s">
        <v>8</v>
      </c>
      <c r="AX546" t="s">
        <v>289</v>
      </c>
      <c r="AY546" s="62">
        <v>37827</v>
      </c>
      <c r="AZ546">
        <v>10262</v>
      </c>
      <c r="BA546">
        <v>584</v>
      </c>
      <c r="BU546" t="s">
        <v>8</v>
      </c>
      <c r="BV546" t="s">
        <v>289</v>
      </c>
      <c r="BW546" s="62">
        <v>37827</v>
      </c>
      <c r="BX546">
        <v>10262</v>
      </c>
      <c r="BY546">
        <v>584</v>
      </c>
    </row>
    <row r="547" spans="49:77" x14ac:dyDescent="0.3">
      <c r="AW547" t="s">
        <v>8</v>
      </c>
      <c r="AX547" t="s">
        <v>289</v>
      </c>
      <c r="AY547" s="62">
        <v>38385</v>
      </c>
      <c r="AZ547">
        <v>10862</v>
      </c>
      <c r="BA547">
        <v>581</v>
      </c>
      <c r="BU547" t="s">
        <v>8</v>
      </c>
      <c r="BV547" t="s">
        <v>289</v>
      </c>
      <c r="BW547" s="62">
        <v>38385</v>
      </c>
      <c r="BX547">
        <v>10862</v>
      </c>
      <c r="BY547">
        <v>581</v>
      </c>
    </row>
    <row r="548" spans="49:77" x14ac:dyDescent="0.3">
      <c r="AW548" t="s">
        <v>8</v>
      </c>
      <c r="AX548" t="s">
        <v>289</v>
      </c>
      <c r="AY548" s="62">
        <v>38088</v>
      </c>
      <c r="AZ548">
        <v>10498</v>
      </c>
      <c r="BA548">
        <v>575</v>
      </c>
      <c r="BU548" t="s">
        <v>8</v>
      </c>
      <c r="BV548" t="s">
        <v>289</v>
      </c>
      <c r="BW548" s="62">
        <v>38088</v>
      </c>
      <c r="BX548">
        <v>10498</v>
      </c>
      <c r="BY548">
        <v>575</v>
      </c>
    </row>
    <row r="549" spans="49:77" x14ac:dyDescent="0.3">
      <c r="AW549" t="s">
        <v>8</v>
      </c>
      <c r="AX549" t="s">
        <v>18</v>
      </c>
      <c r="AY549" s="62">
        <v>38252</v>
      </c>
      <c r="AZ549">
        <v>10669</v>
      </c>
      <c r="BA549">
        <v>570</v>
      </c>
      <c r="BU549" t="s">
        <v>8</v>
      </c>
      <c r="BV549" t="s">
        <v>18</v>
      </c>
      <c r="BW549" s="62">
        <v>38252</v>
      </c>
      <c r="BX549">
        <v>10669</v>
      </c>
      <c r="BY549">
        <v>570</v>
      </c>
    </row>
    <row r="550" spans="49:77" x14ac:dyDescent="0.3">
      <c r="AW550" t="s">
        <v>7</v>
      </c>
      <c r="AX550" t="s">
        <v>16</v>
      </c>
      <c r="AY550" s="62">
        <v>38168</v>
      </c>
      <c r="AZ550">
        <v>10577</v>
      </c>
      <c r="BA550">
        <v>569</v>
      </c>
      <c r="BU550" t="s">
        <v>7</v>
      </c>
      <c r="BV550" t="s">
        <v>16</v>
      </c>
      <c r="BW550" s="62">
        <v>38168</v>
      </c>
      <c r="BX550">
        <v>10577</v>
      </c>
      <c r="BY550">
        <v>569</v>
      </c>
    </row>
    <row r="551" spans="49:77" x14ac:dyDescent="0.3">
      <c r="AW551" t="s">
        <v>8</v>
      </c>
      <c r="AX551" t="s">
        <v>289</v>
      </c>
      <c r="AY551" s="62">
        <v>37945</v>
      </c>
      <c r="AZ551">
        <v>10354</v>
      </c>
      <c r="BA551">
        <v>568.79999999999995</v>
      </c>
      <c r="BU551" t="s">
        <v>8</v>
      </c>
      <c r="BV551" t="s">
        <v>289</v>
      </c>
      <c r="BW551" s="62">
        <v>37945</v>
      </c>
      <c r="BX551">
        <v>10354</v>
      </c>
      <c r="BY551">
        <v>568.79999999999995</v>
      </c>
    </row>
    <row r="552" spans="49:77" x14ac:dyDescent="0.3">
      <c r="AW552" t="s">
        <v>8</v>
      </c>
      <c r="AX552" t="s">
        <v>15</v>
      </c>
      <c r="AY552" s="62">
        <v>38184</v>
      </c>
      <c r="AZ552">
        <v>10594</v>
      </c>
      <c r="BA552">
        <v>565.5</v>
      </c>
      <c r="BU552" t="s">
        <v>8</v>
      </c>
      <c r="BV552" t="s">
        <v>15</v>
      </c>
      <c r="BW552" s="62">
        <v>38184</v>
      </c>
      <c r="BX552">
        <v>10594</v>
      </c>
      <c r="BY552">
        <v>565.5</v>
      </c>
    </row>
    <row r="553" spans="49:77" x14ac:dyDescent="0.3">
      <c r="AW553" t="s">
        <v>7</v>
      </c>
      <c r="AX553" t="s">
        <v>288</v>
      </c>
      <c r="AY553" s="62">
        <v>38245</v>
      </c>
      <c r="AZ553">
        <v>10661</v>
      </c>
      <c r="BA553">
        <v>562.6</v>
      </c>
      <c r="BU553" t="s">
        <v>7</v>
      </c>
      <c r="BV553" t="s">
        <v>288</v>
      </c>
      <c r="BW553" s="62">
        <v>38245</v>
      </c>
      <c r="BX553">
        <v>10661</v>
      </c>
      <c r="BY553">
        <v>562.6</v>
      </c>
    </row>
    <row r="554" spans="49:77" x14ac:dyDescent="0.3">
      <c r="AW554" t="s">
        <v>8</v>
      </c>
      <c r="AX554" t="s">
        <v>14</v>
      </c>
      <c r="AY554" s="62">
        <v>38452</v>
      </c>
      <c r="AZ554">
        <v>10996</v>
      </c>
      <c r="BA554">
        <v>560</v>
      </c>
      <c r="BU554" t="s">
        <v>8</v>
      </c>
      <c r="BV554" t="s">
        <v>14</v>
      </c>
      <c r="BW554" s="62">
        <v>38452</v>
      </c>
      <c r="BX554">
        <v>10996</v>
      </c>
      <c r="BY554">
        <v>560</v>
      </c>
    </row>
    <row r="555" spans="49:77" x14ac:dyDescent="0.3">
      <c r="AW555" t="s">
        <v>7</v>
      </c>
      <c r="AX555" t="s">
        <v>16</v>
      </c>
      <c r="AY555" s="62">
        <v>38429</v>
      </c>
      <c r="AZ555">
        <v>10942</v>
      </c>
      <c r="BA555">
        <v>560</v>
      </c>
      <c r="BU555" t="s">
        <v>7</v>
      </c>
      <c r="BV555" t="s">
        <v>16</v>
      </c>
      <c r="BW555" s="62">
        <v>38429</v>
      </c>
      <c r="BX555">
        <v>10942</v>
      </c>
      <c r="BY555">
        <v>560</v>
      </c>
    </row>
    <row r="556" spans="49:77" x14ac:dyDescent="0.3">
      <c r="AW556" t="s">
        <v>7</v>
      </c>
      <c r="AX556" t="s">
        <v>17</v>
      </c>
      <c r="AY556" s="62">
        <v>38071</v>
      </c>
      <c r="AZ556">
        <v>10477</v>
      </c>
      <c r="BA556">
        <v>558</v>
      </c>
      <c r="BU556" t="s">
        <v>7</v>
      </c>
      <c r="BV556" t="s">
        <v>17</v>
      </c>
      <c r="BW556" s="62">
        <v>38071</v>
      </c>
      <c r="BX556">
        <v>10477</v>
      </c>
      <c r="BY556">
        <v>558</v>
      </c>
    </row>
    <row r="557" spans="49:77" x14ac:dyDescent="0.3">
      <c r="AW557" t="s">
        <v>8</v>
      </c>
      <c r="AX557" t="s">
        <v>289</v>
      </c>
      <c r="AY557" s="62">
        <v>38045</v>
      </c>
      <c r="AZ557">
        <v>10456</v>
      </c>
      <c r="BA557">
        <v>557.6</v>
      </c>
      <c r="BU557" t="s">
        <v>8</v>
      </c>
      <c r="BV557" t="s">
        <v>289</v>
      </c>
      <c r="BW557" s="62">
        <v>38045</v>
      </c>
      <c r="BX557">
        <v>10456</v>
      </c>
      <c r="BY557">
        <v>557.6</v>
      </c>
    </row>
    <row r="558" spans="49:77" x14ac:dyDescent="0.3">
      <c r="AW558" t="s">
        <v>7</v>
      </c>
      <c r="AX558" t="s">
        <v>17</v>
      </c>
      <c r="AY558" s="62">
        <v>37825</v>
      </c>
      <c r="AZ558">
        <v>10254</v>
      </c>
      <c r="BA558">
        <v>556.62</v>
      </c>
      <c r="BU558" t="s">
        <v>7</v>
      </c>
      <c r="BV558" t="s">
        <v>17</v>
      </c>
      <c r="BW558" s="62">
        <v>37825</v>
      </c>
      <c r="BX558">
        <v>10254</v>
      </c>
      <c r="BY558">
        <v>556.62</v>
      </c>
    </row>
    <row r="559" spans="49:77" x14ac:dyDescent="0.3">
      <c r="AW559" t="s">
        <v>8</v>
      </c>
      <c r="AX559" t="s">
        <v>289</v>
      </c>
      <c r="AY559" s="62">
        <v>38172</v>
      </c>
      <c r="AZ559">
        <v>10571</v>
      </c>
      <c r="BA559">
        <v>550.59</v>
      </c>
      <c r="BU559" t="s">
        <v>8</v>
      </c>
      <c r="BV559" t="s">
        <v>289</v>
      </c>
      <c r="BW559" s="62">
        <v>38172</v>
      </c>
      <c r="BX559">
        <v>10571</v>
      </c>
      <c r="BY559">
        <v>550.59</v>
      </c>
    </row>
    <row r="560" spans="49:77" x14ac:dyDescent="0.3">
      <c r="AW560" t="s">
        <v>8</v>
      </c>
      <c r="AX560" t="s">
        <v>289</v>
      </c>
      <c r="AY560" s="62">
        <v>38296</v>
      </c>
      <c r="AZ560">
        <v>10720</v>
      </c>
      <c r="BA560">
        <v>550</v>
      </c>
      <c r="BU560" t="s">
        <v>8</v>
      </c>
      <c r="BV560" t="s">
        <v>289</v>
      </c>
      <c r="BW560" s="62">
        <v>38296</v>
      </c>
      <c r="BX560">
        <v>10720</v>
      </c>
      <c r="BY560">
        <v>550</v>
      </c>
    </row>
    <row r="561" spans="49:77" x14ac:dyDescent="0.3">
      <c r="AW561" t="s">
        <v>8</v>
      </c>
      <c r="AX561" t="s">
        <v>18</v>
      </c>
      <c r="AY561" s="62">
        <v>38413</v>
      </c>
      <c r="AZ561">
        <v>10915</v>
      </c>
      <c r="BA561">
        <v>539.5</v>
      </c>
      <c r="BU561" t="s">
        <v>8</v>
      </c>
      <c r="BV561" t="s">
        <v>18</v>
      </c>
      <c r="BW561" s="62">
        <v>38413</v>
      </c>
      <c r="BX561">
        <v>10915</v>
      </c>
      <c r="BY561">
        <v>539.5</v>
      </c>
    </row>
    <row r="562" spans="49:77" x14ac:dyDescent="0.3">
      <c r="AW562" t="s">
        <v>8</v>
      </c>
      <c r="AX562" t="s">
        <v>289</v>
      </c>
      <c r="AY562" s="62">
        <v>38469</v>
      </c>
      <c r="AZ562">
        <v>11034</v>
      </c>
      <c r="BA562">
        <v>539.4</v>
      </c>
      <c r="BU562" t="s">
        <v>8</v>
      </c>
      <c r="BV562" t="s">
        <v>289</v>
      </c>
      <c r="BW562" s="62">
        <v>38469</v>
      </c>
      <c r="BX562">
        <v>11034</v>
      </c>
      <c r="BY562">
        <v>539.4</v>
      </c>
    </row>
    <row r="563" spans="49:77" x14ac:dyDescent="0.3">
      <c r="AW563" t="s">
        <v>7</v>
      </c>
      <c r="AX563" t="s">
        <v>13</v>
      </c>
      <c r="AY563" s="62">
        <v>37849</v>
      </c>
      <c r="AZ563">
        <v>10274</v>
      </c>
      <c r="BA563">
        <v>538.6</v>
      </c>
      <c r="BU563" t="s">
        <v>7</v>
      </c>
      <c r="BV563" t="s">
        <v>13</v>
      </c>
      <c r="BW563" s="62">
        <v>37849</v>
      </c>
      <c r="BX563">
        <v>10274</v>
      </c>
      <c r="BY563">
        <v>538.6</v>
      </c>
    </row>
    <row r="564" spans="49:77" x14ac:dyDescent="0.3">
      <c r="AW564" t="s">
        <v>7</v>
      </c>
      <c r="AX564" t="s">
        <v>13</v>
      </c>
      <c r="AY564" s="62">
        <v>38413</v>
      </c>
      <c r="AZ564">
        <v>10914</v>
      </c>
      <c r="BA564">
        <v>537.5</v>
      </c>
      <c r="BU564" t="s">
        <v>7</v>
      </c>
      <c r="BV564" t="s">
        <v>13</v>
      </c>
      <c r="BW564" s="62">
        <v>38413</v>
      </c>
      <c r="BX564">
        <v>10914</v>
      </c>
      <c r="BY564">
        <v>537.5</v>
      </c>
    </row>
    <row r="565" spans="49:77" x14ac:dyDescent="0.3">
      <c r="AW565" t="s">
        <v>7</v>
      </c>
      <c r="AX565" t="s">
        <v>13</v>
      </c>
      <c r="AY565" s="62">
        <v>38312</v>
      </c>
      <c r="AZ565">
        <v>10735</v>
      </c>
      <c r="BA565">
        <v>536.4</v>
      </c>
      <c r="BU565" t="s">
        <v>7</v>
      </c>
      <c r="BV565" t="s">
        <v>13</v>
      </c>
      <c r="BW565" s="62">
        <v>38312</v>
      </c>
      <c r="BX565">
        <v>10735</v>
      </c>
      <c r="BY565">
        <v>536.4</v>
      </c>
    </row>
    <row r="566" spans="49:77" x14ac:dyDescent="0.3">
      <c r="AW566" t="s">
        <v>8</v>
      </c>
      <c r="AX566" t="s">
        <v>18</v>
      </c>
      <c r="AY566" s="62">
        <v>38259</v>
      </c>
      <c r="AZ566">
        <v>10676</v>
      </c>
      <c r="BA566">
        <v>534.85</v>
      </c>
      <c r="BU566" t="s">
        <v>8</v>
      </c>
      <c r="BV566" t="s">
        <v>18</v>
      </c>
      <c r="BW566" s="62">
        <v>38259</v>
      </c>
      <c r="BX566">
        <v>10676</v>
      </c>
      <c r="BY566">
        <v>534.85</v>
      </c>
    </row>
    <row r="567" spans="49:77" x14ac:dyDescent="0.3">
      <c r="AW567" t="s">
        <v>7</v>
      </c>
      <c r="AX567" t="s">
        <v>288</v>
      </c>
      <c r="AY567" s="62">
        <v>38101</v>
      </c>
      <c r="AZ567">
        <v>10512</v>
      </c>
      <c r="BA567">
        <v>525.29999999999995</v>
      </c>
      <c r="BU567" t="s">
        <v>7</v>
      </c>
      <c r="BV567" t="s">
        <v>288</v>
      </c>
      <c r="BW567" s="62">
        <v>38101</v>
      </c>
      <c r="BX567">
        <v>10512</v>
      </c>
      <c r="BY567">
        <v>525.29999999999995</v>
      </c>
    </row>
    <row r="568" spans="49:77" x14ac:dyDescent="0.3">
      <c r="AW568" t="s">
        <v>7</v>
      </c>
      <c r="AX568" t="s">
        <v>288</v>
      </c>
      <c r="AY568" s="62">
        <v>38472</v>
      </c>
      <c r="AZ568">
        <v>11048</v>
      </c>
      <c r="BA568">
        <v>525</v>
      </c>
      <c r="BU568" t="s">
        <v>7</v>
      </c>
      <c r="BV568" t="s">
        <v>288</v>
      </c>
      <c r="BW568" s="62">
        <v>38472</v>
      </c>
      <c r="BX568">
        <v>11048</v>
      </c>
      <c r="BY568">
        <v>525</v>
      </c>
    </row>
    <row r="569" spans="49:77" x14ac:dyDescent="0.3">
      <c r="AW569" t="s">
        <v>7</v>
      </c>
      <c r="AX569" t="s">
        <v>13</v>
      </c>
      <c r="AY569" s="62">
        <v>38094</v>
      </c>
      <c r="AZ569">
        <v>10500</v>
      </c>
      <c r="BA569">
        <v>523.26</v>
      </c>
      <c r="BU569" t="s">
        <v>7</v>
      </c>
      <c r="BV569" t="s">
        <v>13</v>
      </c>
      <c r="BW569" s="62">
        <v>38094</v>
      </c>
      <c r="BX569">
        <v>10500</v>
      </c>
      <c r="BY569">
        <v>523.26</v>
      </c>
    </row>
    <row r="570" spans="49:77" x14ac:dyDescent="0.3">
      <c r="AW570" t="s">
        <v>7</v>
      </c>
      <c r="AX570" t="s">
        <v>13</v>
      </c>
      <c r="AY570" s="62">
        <v>38151</v>
      </c>
      <c r="AZ570">
        <v>10559</v>
      </c>
      <c r="BA570">
        <v>520.41</v>
      </c>
      <c r="BU570" t="s">
        <v>7</v>
      </c>
      <c r="BV570" t="s">
        <v>13</v>
      </c>
      <c r="BW570" s="62">
        <v>38151</v>
      </c>
      <c r="BX570">
        <v>10559</v>
      </c>
      <c r="BY570">
        <v>520.41</v>
      </c>
    </row>
    <row r="571" spans="49:77" x14ac:dyDescent="0.3">
      <c r="AW571" t="s">
        <v>8</v>
      </c>
      <c r="AX571" t="s">
        <v>15</v>
      </c>
      <c r="AY571" s="62">
        <v>38387</v>
      </c>
      <c r="AZ571">
        <v>10860</v>
      </c>
      <c r="BA571">
        <v>519</v>
      </c>
      <c r="BU571" t="s">
        <v>8</v>
      </c>
      <c r="BV571" t="s">
        <v>15</v>
      </c>
      <c r="BW571" s="62">
        <v>38387</v>
      </c>
      <c r="BX571">
        <v>10860</v>
      </c>
      <c r="BY571">
        <v>519</v>
      </c>
    </row>
    <row r="572" spans="49:77" x14ac:dyDescent="0.3">
      <c r="AW572" t="s">
        <v>8</v>
      </c>
      <c r="AX572" t="s">
        <v>15</v>
      </c>
      <c r="AY572" s="62">
        <v>37819</v>
      </c>
      <c r="AZ572">
        <v>10256</v>
      </c>
      <c r="BA572">
        <v>517.79999999999995</v>
      </c>
      <c r="BU572" t="s">
        <v>8</v>
      </c>
      <c r="BV572" t="s">
        <v>15</v>
      </c>
      <c r="BW572" s="62">
        <v>37819</v>
      </c>
      <c r="BX572">
        <v>10256</v>
      </c>
      <c r="BY572">
        <v>517.79999999999995</v>
      </c>
    </row>
    <row r="573" spans="49:77" x14ac:dyDescent="0.3">
      <c r="AW573" t="s">
        <v>8</v>
      </c>
      <c r="AX573" t="s">
        <v>289</v>
      </c>
      <c r="AY573" s="62">
        <v>38031</v>
      </c>
      <c r="AZ573">
        <v>10443</v>
      </c>
      <c r="BA573">
        <v>517.44000000000005</v>
      </c>
      <c r="BU573" t="s">
        <v>8</v>
      </c>
      <c r="BV573" t="s">
        <v>289</v>
      </c>
      <c r="BW573" s="62">
        <v>38031</v>
      </c>
      <c r="BX573">
        <v>10443</v>
      </c>
      <c r="BY573">
        <v>517.44000000000005</v>
      </c>
    </row>
    <row r="574" spans="49:77" x14ac:dyDescent="0.3">
      <c r="AW574" t="s">
        <v>8</v>
      </c>
      <c r="AX574" t="s">
        <v>14</v>
      </c>
      <c r="AY574" s="62">
        <v>37897</v>
      </c>
      <c r="AZ574">
        <v>10315</v>
      </c>
      <c r="BA574">
        <v>516.79999999999995</v>
      </c>
      <c r="BU574" t="s">
        <v>8</v>
      </c>
      <c r="BV574" t="s">
        <v>14</v>
      </c>
      <c r="BW574" s="62">
        <v>37897</v>
      </c>
      <c r="BX574">
        <v>10315</v>
      </c>
      <c r="BY574">
        <v>516.79999999999995</v>
      </c>
    </row>
    <row r="575" spans="49:77" x14ac:dyDescent="0.3">
      <c r="AW575" t="s">
        <v>8</v>
      </c>
      <c r="AX575" t="s">
        <v>15</v>
      </c>
      <c r="AY575" s="62">
        <v>38184</v>
      </c>
      <c r="AZ575">
        <v>10592</v>
      </c>
      <c r="BA575">
        <v>516.46</v>
      </c>
      <c r="BU575" t="s">
        <v>8</v>
      </c>
      <c r="BV575" t="s">
        <v>15</v>
      </c>
      <c r="BW575" s="62">
        <v>38184</v>
      </c>
      <c r="BX575">
        <v>10592</v>
      </c>
      <c r="BY575">
        <v>516.46</v>
      </c>
    </row>
    <row r="576" spans="49:77" x14ac:dyDescent="0.3">
      <c r="AW576" t="s">
        <v>7</v>
      </c>
      <c r="AX576" t="s">
        <v>17</v>
      </c>
      <c r="AY576" s="62">
        <v>37912</v>
      </c>
      <c r="AZ576">
        <v>10320</v>
      </c>
      <c r="BA576">
        <v>516</v>
      </c>
      <c r="BU576" t="s">
        <v>7</v>
      </c>
      <c r="BV576" t="s">
        <v>17</v>
      </c>
      <c r="BW576" s="62">
        <v>37912</v>
      </c>
      <c r="BX576">
        <v>10320</v>
      </c>
      <c r="BY576">
        <v>516</v>
      </c>
    </row>
    <row r="577" spans="49:77" x14ac:dyDescent="0.3">
      <c r="AW577" t="s">
        <v>8</v>
      </c>
      <c r="AX577" t="s">
        <v>14</v>
      </c>
      <c r="AY577" s="62">
        <v>38422</v>
      </c>
      <c r="AZ577">
        <v>10926</v>
      </c>
      <c r="BA577">
        <v>514.4</v>
      </c>
      <c r="BU577" t="s">
        <v>8</v>
      </c>
      <c r="BV577" t="s">
        <v>14</v>
      </c>
      <c r="BW577" s="62">
        <v>38422</v>
      </c>
      <c r="BX577">
        <v>10926</v>
      </c>
      <c r="BY577">
        <v>514.4</v>
      </c>
    </row>
    <row r="578" spans="49:77" x14ac:dyDescent="0.3">
      <c r="AW578" t="s">
        <v>7</v>
      </c>
      <c r="AX578" t="s">
        <v>17</v>
      </c>
      <c r="AY578" s="62">
        <v>38329</v>
      </c>
      <c r="AZ578">
        <v>10761</v>
      </c>
      <c r="BA578">
        <v>507</v>
      </c>
      <c r="BU578" t="s">
        <v>7</v>
      </c>
      <c r="BV578" t="s">
        <v>17</v>
      </c>
      <c r="BW578" s="62">
        <v>38329</v>
      </c>
      <c r="BX578">
        <v>10761</v>
      </c>
      <c r="BY578">
        <v>507</v>
      </c>
    </row>
    <row r="579" spans="49:77" x14ac:dyDescent="0.3">
      <c r="AW579" t="s">
        <v>8</v>
      </c>
      <c r="AX579" t="s">
        <v>15</v>
      </c>
      <c r="AY579" s="62">
        <v>38423</v>
      </c>
      <c r="AZ579">
        <v>10934</v>
      </c>
      <c r="BA579">
        <v>500</v>
      </c>
      <c r="BU579" t="s">
        <v>8</v>
      </c>
      <c r="BV579" t="s">
        <v>15</v>
      </c>
      <c r="BW579" s="62">
        <v>38423</v>
      </c>
      <c r="BX579">
        <v>10934</v>
      </c>
      <c r="BY579">
        <v>500</v>
      </c>
    </row>
    <row r="580" spans="49:77" x14ac:dyDescent="0.3">
      <c r="AW580" t="s">
        <v>7</v>
      </c>
      <c r="AX580" t="s">
        <v>288</v>
      </c>
      <c r="AY580" s="62">
        <v>38226</v>
      </c>
      <c r="AZ580">
        <v>10639</v>
      </c>
      <c r="BA580">
        <v>500</v>
      </c>
      <c r="BU580" t="s">
        <v>7</v>
      </c>
      <c r="BV580" t="s">
        <v>288</v>
      </c>
      <c r="BW580" s="62">
        <v>38226</v>
      </c>
      <c r="BX580">
        <v>10639</v>
      </c>
      <c r="BY580">
        <v>500</v>
      </c>
    </row>
    <row r="581" spans="49:77" x14ac:dyDescent="0.3">
      <c r="AW581" t="s">
        <v>8</v>
      </c>
      <c r="AX581" t="s">
        <v>287</v>
      </c>
      <c r="AY581" s="62">
        <v>37887</v>
      </c>
      <c r="AZ581">
        <v>10306</v>
      </c>
      <c r="BA581">
        <v>498.5</v>
      </c>
      <c r="BU581" t="s">
        <v>8</v>
      </c>
      <c r="BV581" t="s">
        <v>287</v>
      </c>
      <c r="BW581" s="62">
        <v>37887</v>
      </c>
      <c r="BX581">
        <v>10306</v>
      </c>
      <c r="BY581">
        <v>498.5</v>
      </c>
    </row>
    <row r="582" spans="49:77" x14ac:dyDescent="0.3">
      <c r="AW582" t="s">
        <v>7</v>
      </c>
      <c r="AX582" t="s">
        <v>13</v>
      </c>
      <c r="AY582" s="62">
        <v>37868</v>
      </c>
      <c r="AZ582">
        <v>10291</v>
      </c>
      <c r="BA582">
        <v>497.52</v>
      </c>
      <c r="BU582" t="s">
        <v>7</v>
      </c>
      <c r="BV582" t="s">
        <v>13</v>
      </c>
      <c r="BW582" s="62">
        <v>37868</v>
      </c>
      <c r="BX582">
        <v>10291</v>
      </c>
      <c r="BY582">
        <v>497.52</v>
      </c>
    </row>
    <row r="583" spans="49:77" x14ac:dyDescent="0.3">
      <c r="AW583" t="s">
        <v>7</v>
      </c>
      <c r="AX583" t="s">
        <v>13</v>
      </c>
      <c r="AY583" s="62">
        <v>38189</v>
      </c>
      <c r="AZ583">
        <v>10599</v>
      </c>
      <c r="BA583">
        <v>493</v>
      </c>
      <c r="BU583" t="s">
        <v>7</v>
      </c>
      <c r="BV583" t="s">
        <v>13</v>
      </c>
      <c r="BW583" s="62">
        <v>38189</v>
      </c>
      <c r="BX583">
        <v>10599</v>
      </c>
      <c r="BY583">
        <v>493</v>
      </c>
    </row>
    <row r="584" spans="49:77" x14ac:dyDescent="0.3">
      <c r="AW584" t="s">
        <v>7</v>
      </c>
      <c r="AX584" t="s">
        <v>16</v>
      </c>
      <c r="AY584" s="62">
        <v>38455</v>
      </c>
      <c r="AZ584">
        <v>11016</v>
      </c>
      <c r="BA584">
        <v>491.5</v>
      </c>
      <c r="BU584" t="s">
        <v>7</v>
      </c>
      <c r="BV584" t="s">
        <v>16</v>
      </c>
      <c r="BW584" s="62">
        <v>38455</v>
      </c>
      <c r="BX584">
        <v>11016</v>
      </c>
      <c r="BY584">
        <v>491.5</v>
      </c>
    </row>
    <row r="585" spans="49:77" x14ac:dyDescent="0.3">
      <c r="AW585" t="s">
        <v>8</v>
      </c>
      <c r="AX585" t="s">
        <v>287</v>
      </c>
      <c r="AY585" s="62">
        <v>38150</v>
      </c>
      <c r="AZ585">
        <v>10562</v>
      </c>
      <c r="BA585">
        <v>488.7</v>
      </c>
      <c r="BU585" t="s">
        <v>8</v>
      </c>
      <c r="BV585" t="s">
        <v>287</v>
      </c>
      <c r="BW585" s="62">
        <v>38150</v>
      </c>
      <c r="BX585">
        <v>10562</v>
      </c>
      <c r="BY585">
        <v>488.7</v>
      </c>
    </row>
    <row r="586" spans="49:77" x14ac:dyDescent="0.3">
      <c r="AW586" t="s">
        <v>8</v>
      </c>
      <c r="AX586" t="s">
        <v>15</v>
      </c>
      <c r="AY586" s="62">
        <v>38024</v>
      </c>
      <c r="AZ586">
        <v>10432</v>
      </c>
      <c r="BA586">
        <v>485</v>
      </c>
      <c r="BU586" t="s">
        <v>8</v>
      </c>
      <c r="BV586" t="s">
        <v>15</v>
      </c>
      <c r="BW586" s="62">
        <v>38024</v>
      </c>
      <c r="BX586">
        <v>10432</v>
      </c>
      <c r="BY586">
        <v>485</v>
      </c>
    </row>
    <row r="587" spans="49:77" x14ac:dyDescent="0.3">
      <c r="AW587" t="s">
        <v>7</v>
      </c>
      <c r="AX587" t="s">
        <v>17</v>
      </c>
      <c r="AY587" s="62">
        <v>38305</v>
      </c>
      <c r="AZ587">
        <v>10730</v>
      </c>
      <c r="BA587">
        <v>484.25</v>
      </c>
      <c r="BU587" t="s">
        <v>7</v>
      </c>
      <c r="BV587" t="s">
        <v>17</v>
      </c>
      <c r="BW587" s="62">
        <v>38305</v>
      </c>
      <c r="BX587">
        <v>10730</v>
      </c>
      <c r="BY587">
        <v>484.25</v>
      </c>
    </row>
    <row r="588" spans="49:77" x14ac:dyDescent="0.3">
      <c r="AW588" t="s">
        <v>7</v>
      </c>
      <c r="AX588" t="s">
        <v>13</v>
      </c>
      <c r="AY588" s="62">
        <v>37945</v>
      </c>
      <c r="AZ588">
        <v>10355</v>
      </c>
      <c r="BA588">
        <v>480</v>
      </c>
      <c r="BU588" t="s">
        <v>7</v>
      </c>
      <c r="BV588" t="s">
        <v>13</v>
      </c>
      <c r="BW588" s="62">
        <v>37945</v>
      </c>
      <c r="BX588">
        <v>10355</v>
      </c>
      <c r="BY588">
        <v>480</v>
      </c>
    </row>
    <row r="589" spans="49:77" x14ac:dyDescent="0.3">
      <c r="AW589" t="s">
        <v>8</v>
      </c>
      <c r="AX589" t="s">
        <v>14</v>
      </c>
      <c r="AY589" s="62">
        <v>38189</v>
      </c>
      <c r="AZ589">
        <v>10600</v>
      </c>
      <c r="BA589">
        <v>479.8</v>
      </c>
      <c r="BU589" t="s">
        <v>8</v>
      </c>
      <c r="BV589" t="s">
        <v>14</v>
      </c>
      <c r="BW589" s="62">
        <v>38189</v>
      </c>
      <c r="BX589">
        <v>10600</v>
      </c>
      <c r="BY589">
        <v>479.8</v>
      </c>
    </row>
    <row r="590" spans="49:77" x14ac:dyDescent="0.3">
      <c r="AW590" t="s">
        <v>8</v>
      </c>
      <c r="AX590" t="s">
        <v>15</v>
      </c>
      <c r="AY590" s="62">
        <v>38213</v>
      </c>
      <c r="AZ590">
        <v>10625</v>
      </c>
      <c r="BA590">
        <v>479.75</v>
      </c>
      <c r="BU590" t="s">
        <v>8</v>
      </c>
      <c r="BV590" t="s">
        <v>15</v>
      </c>
      <c r="BW590" s="62">
        <v>38213</v>
      </c>
      <c r="BX590">
        <v>10625</v>
      </c>
      <c r="BY590">
        <v>479.75</v>
      </c>
    </row>
    <row r="591" spans="49:77" x14ac:dyDescent="0.3">
      <c r="AW591" t="s">
        <v>7</v>
      </c>
      <c r="AX591" t="s">
        <v>288</v>
      </c>
      <c r="AY591" s="62">
        <v>37861</v>
      </c>
      <c r="AZ591">
        <v>10289</v>
      </c>
      <c r="BA591">
        <v>479.4</v>
      </c>
      <c r="BU591" t="s">
        <v>7</v>
      </c>
      <c r="BV591" t="s">
        <v>288</v>
      </c>
      <c r="BW591" s="62">
        <v>37861</v>
      </c>
      <c r="BX591">
        <v>10289</v>
      </c>
      <c r="BY591">
        <v>479.4</v>
      </c>
    </row>
    <row r="592" spans="49:77" x14ac:dyDescent="0.3">
      <c r="AW592" t="s">
        <v>8</v>
      </c>
      <c r="AX592" t="s">
        <v>14</v>
      </c>
      <c r="AY592" s="62">
        <v>38193</v>
      </c>
      <c r="AZ592">
        <v>10578</v>
      </c>
      <c r="BA592">
        <v>477</v>
      </c>
      <c r="BU592" t="s">
        <v>8</v>
      </c>
      <c r="BV592" t="s">
        <v>14</v>
      </c>
      <c r="BW592" s="62">
        <v>38193</v>
      </c>
      <c r="BX592">
        <v>10578</v>
      </c>
      <c r="BY592">
        <v>477</v>
      </c>
    </row>
    <row r="593" spans="49:77" x14ac:dyDescent="0.3">
      <c r="AW593" t="s">
        <v>8</v>
      </c>
      <c r="AX593" t="s">
        <v>18</v>
      </c>
      <c r="AY593" s="62">
        <v>38368</v>
      </c>
      <c r="AZ593">
        <v>10819</v>
      </c>
      <c r="BA593">
        <v>477</v>
      </c>
      <c r="BU593" t="s">
        <v>8</v>
      </c>
      <c r="BV593" t="s">
        <v>18</v>
      </c>
      <c r="BW593" s="62">
        <v>38368</v>
      </c>
      <c r="BX593">
        <v>10819</v>
      </c>
      <c r="BY593">
        <v>477</v>
      </c>
    </row>
    <row r="594" spans="49:77" x14ac:dyDescent="0.3">
      <c r="AW594" t="s">
        <v>8</v>
      </c>
      <c r="AX594" t="s">
        <v>15</v>
      </c>
      <c r="AY594" s="62">
        <v>38424</v>
      </c>
      <c r="AZ594">
        <v>10925</v>
      </c>
      <c r="BA594">
        <v>475.15</v>
      </c>
      <c r="BU594" t="s">
        <v>8</v>
      </c>
      <c r="BV594" t="s">
        <v>15</v>
      </c>
      <c r="BW594" s="62">
        <v>38424</v>
      </c>
      <c r="BX594">
        <v>10925</v>
      </c>
      <c r="BY594">
        <v>475.15</v>
      </c>
    </row>
    <row r="595" spans="49:77" x14ac:dyDescent="0.3">
      <c r="AW595" t="s">
        <v>8</v>
      </c>
      <c r="AX595" t="s">
        <v>18</v>
      </c>
      <c r="AY595" s="62">
        <v>38371</v>
      </c>
      <c r="AZ595">
        <v>10832</v>
      </c>
      <c r="BA595">
        <v>475.11</v>
      </c>
      <c r="BU595" t="s">
        <v>8</v>
      </c>
      <c r="BV595" t="s">
        <v>18</v>
      </c>
      <c r="BW595" s="62">
        <v>38371</v>
      </c>
      <c r="BX595">
        <v>10832</v>
      </c>
      <c r="BY595">
        <v>475.11</v>
      </c>
    </row>
    <row r="596" spans="49:77" x14ac:dyDescent="0.3">
      <c r="AW596" t="s">
        <v>8</v>
      </c>
      <c r="AX596" t="s">
        <v>287</v>
      </c>
      <c r="AY596" s="62">
        <v>38267</v>
      </c>
      <c r="AZ596">
        <v>10689</v>
      </c>
      <c r="BA596">
        <v>472.5</v>
      </c>
      <c r="BU596" t="s">
        <v>8</v>
      </c>
      <c r="BV596" t="s">
        <v>287</v>
      </c>
      <c r="BW596" s="62">
        <v>38267</v>
      </c>
      <c r="BX596">
        <v>10689</v>
      </c>
      <c r="BY596">
        <v>472.5</v>
      </c>
    </row>
    <row r="597" spans="49:77" x14ac:dyDescent="0.3">
      <c r="AW597" t="s">
        <v>8</v>
      </c>
      <c r="AX597" t="s">
        <v>18</v>
      </c>
      <c r="AY597" s="62">
        <v>38072</v>
      </c>
      <c r="AZ597">
        <v>10478</v>
      </c>
      <c r="BA597">
        <v>471.2</v>
      </c>
      <c r="BU597" t="s">
        <v>8</v>
      </c>
      <c r="BV597" t="s">
        <v>18</v>
      </c>
      <c r="BW597" s="62">
        <v>38072</v>
      </c>
      <c r="BX597">
        <v>10478</v>
      </c>
      <c r="BY597">
        <v>471.2</v>
      </c>
    </row>
    <row r="598" spans="49:77" x14ac:dyDescent="0.3">
      <c r="AW598" t="s">
        <v>8</v>
      </c>
      <c r="AX598" t="s">
        <v>287</v>
      </c>
      <c r="AY598" s="62">
        <v>38435</v>
      </c>
      <c r="AZ598">
        <v>10952</v>
      </c>
      <c r="BA598">
        <v>471.2</v>
      </c>
      <c r="BU598" t="s">
        <v>8</v>
      </c>
      <c r="BV598" t="s">
        <v>287</v>
      </c>
      <c r="BW598" s="62">
        <v>38435</v>
      </c>
      <c r="BX598">
        <v>10952</v>
      </c>
      <c r="BY598">
        <v>471.2</v>
      </c>
    </row>
    <row r="599" spans="49:77" x14ac:dyDescent="0.3">
      <c r="AW599" t="s">
        <v>8</v>
      </c>
      <c r="AX599" t="s">
        <v>287</v>
      </c>
      <c r="AY599" s="62">
        <v>38133</v>
      </c>
      <c r="AZ599">
        <v>10542</v>
      </c>
      <c r="BA599">
        <v>469.11</v>
      </c>
      <c r="BU599" t="s">
        <v>8</v>
      </c>
      <c r="BV599" t="s">
        <v>287</v>
      </c>
      <c r="BW599" s="62">
        <v>38133</v>
      </c>
      <c r="BX599">
        <v>10542</v>
      </c>
      <c r="BY599">
        <v>469.11</v>
      </c>
    </row>
    <row r="600" spans="49:77" x14ac:dyDescent="0.3">
      <c r="AW600" t="s">
        <v>8</v>
      </c>
      <c r="AX600" t="s">
        <v>15</v>
      </c>
      <c r="AY600" s="62">
        <v>38316</v>
      </c>
      <c r="AZ600">
        <v>10723</v>
      </c>
      <c r="BA600">
        <v>468.45</v>
      </c>
      <c r="BU600" t="s">
        <v>8</v>
      </c>
      <c r="BV600" t="s">
        <v>15</v>
      </c>
      <c r="BW600" s="62">
        <v>38316</v>
      </c>
      <c r="BX600">
        <v>10723</v>
      </c>
      <c r="BY600">
        <v>468.45</v>
      </c>
    </row>
    <row r="601" spans="49:77" x14ac:dyDescent="0.3">
      <c r="AW601" t="s">
        <v>8</v>
      </c>
      <c r="AX601" t="s">
        <v>289</v>
      </c>
      <c r="AY601" s="62">
        <v>38121</v>
      </c>
      <c r="AZ601">
        <v>10534</v>
      </c>
      <c r="BA601">
        <v>465.7</v>
      </c>
      <c r="BU601" t="s">
        <v>8</v>
      </c>
      <c r="BV601" t="s">
        <v>289</v>
      </c>
      <c r="BW601" s="62">
        <v>38121</v>
      </c>
      <c r="BX601">
        <v>10534</v>
      </c>
      <c r="BY601">
        <v>465.7</v>
      </c>
    </row>
    <row r="602" spans="49:77" x14ac:dyDescent="0.3">
      <c r="AW602" t="s">
        <v>8</v>
      </c>
      <c r="AX602" t="s">
        <v>289</v>
      </c>
      <c r="AY602" s="62">
        <v>38200</v>
      </c>
      <c r="AZ602">
        <v>10614</v>
      </c>
      <c r="BA602">
        <v>464</v>
      </c>
      <c r="BU602" t="s">
        <v>8</v>
      </c>
      <c r="BV602" t="s">
        <v>289</v>
      </c>
      <c r="BW602" s="62">
        <v>38200</v>
      </c>
      <c r="BX602">
        <v>10614</v>
      </c>
      <c r="BY602">
        <v>464</v>
      </c>
    </row>
    <row r="603" spans="49:77" x14ac:dyDescent="0.3">
      <c r="AW603" t="s">
        <v>8</v>
      </c>
      <c r="AX603" t="s">
        <v>287</v>
      </c>
      <c r="AY603" s="62">
        <v>37964</v>
      </c>
      <c r="AZ603">
        <v>10374</v>
      </c>
      <c r="BA603">
        <v>459</v>
      </c>
      <c r="BU603" t="s">
        <v>8</v>
      </c>
      <c r="BV603" t="s">
        <v>287</v>
      </c>
      <c r="BW603" s="62">
        <v>37964</v>
      </c>
      <c r="BX603">
        <v>10374</v>
      </c>
      <c r="BY603">
        <v>459</v>
      </c>
    </row>
    <row r="604" spans="49:77" x14ac:dyDescent="0.3">
      <c r="AW604" t="s">
        <v>7</v>
      </c>
      <c r="AX604" t="s">
        <v>16</v>
      </c>
      <c r="AY604" s="62">
        <v>38449</v>
      </c>
      <c r="AZ604">
        <v>10951</v>
      </c>
      <c r="BA604">
        <v>458.74</v>
      </c>
      <c r="BU604" t="s">
        <v>7</v>
      </c>
      <c r="BV604" t="s">
        <v>16</v>
      </c>
      <c r="BW604" s="62">
        <v>38449</v>
      </c>
      <c r="BX604">
        <v>10951</v>
      </c>
      <c r="BY604">
        <v>458.74</v>
      </c>
    </row>
    <row r="605" spans="49:77" x14ac:dyDescent="0.3">
      <c r="AW605" t="s">
        <v>8</v>
      </c>
      <c r="AX605" t="s">
        <v>15</v>
      </c>
      <c r="AY605" s="62">
        <v>38429</v>
      </c>
      <c r="AZ605">
        <v>10936</v>
      </c>
      <c r="BA605">
        <v>456</v>
      </c>
      <c r="BU605" t="s">
        <v>8</v>
      </c>
      <c r="BV605" t="s">
        <v>15</v>
      </c>
      <c r="BW605" s="62">
        <v>38429</v>
      </c>
      <c r="BX605">
        <v>10936</v>
      </c>
      <c r="BY605">
        <v>456</v>
      </c>
    </row>
    <row r="606" spans="49:77" x14ac:dyDescent="0.3">
      <c r="AW606" t="s">
        <v>8</v>
      </c>
      <c r="AX606" t="s">
        <v>15</v>
      </c>
      <c r="AY606" s="62">
        <v>38031</v>
      </c>
      <c r="AZ606">
        <v>10438</v>
      </c>
      <c r="BA606">
        <v>454</v>
      </c>
      <c r="BU606" t="s">
        <v>8</v>
      </c>
      <c r="BV606" t="s">
        <v>15</v>
      </c>
      <c r="BW606" s="62">
        <v>38031</v>
      </c>
      <c r="BX606">
        <v>10438</v>
      </c>
      <c r="BY606">
        <v>454</v>
      </c>
    </row>
    <row r="607" spans="49:77" x14ac:dyDescent="0.3">
      <c r="AW607" t="s">
        <v>8</v>
      </c>
      <c r="AX607" t="s">
        <v>287</v>
      </c>
      <c r="AY607" s="62">
        <v>38415</v>
      </c>
      <c r="AZ607">
        <v>10910</v>
      </c>
      <c r="BA607">
        <v>452.9</v>
      </c>
      <c r="BU607" t="s">
        <v>8</v>
      </c>
      <c r="BV607" t="s">
        <v>287</v>
      </c>
      <c r="BW607" s="62">
        <v>38415</v>
      </c>
      <c r="BX607">
        <v>10910</v>
      </c>
      <c r="BY607">
        <v>452.9</v>
      </c>
    </row>
    <row r="608" spans="49:77" x14ac:dyDescent="0.3">
      <c r="AW608" t="s">
        <v>8</v>
      </c>
      <c r="AX608" t="s">
        <v>14</v>
      </c>
      <c r="AY608" s="62">
        <v>38219</v>
      </c>
      <c r="AZ608">
        <v>10628</v>
      </c>
      <c r="BA608">
        <v>450</v>
      </c>
      <c r="BU608" t="s">
        <v>8</v>
      </c>
      <c r="BV608" t="s">
        <v>14</v>
      </c>
      <c r="BW608" s="62">
        <v>38219</v>
      </c>
      <c r="BX608">
        <v>10628</v>
      </c>
      <c r="BY608">
        <v>450</v>
      </c>
    </row>
    <row r="609" spans="49:77" x14ac:dyDescent="0.3">
      <c r="AW609" t="s">
        <v>8</v>
      </c>
      <c r="AX609" t="s">
        <v>14</v>
      </c>
      <c r="AY609" s="62">
        <v>37832</v>
      </c>
      <c r="AZ609">
        <v>10261</v>
      </c>
      <c r="BA609">
        <v>448</v>
      </c>
      <c r="BU609" t="s">
        <v>8</v>
      </c>
      <c r="BV609" t="s">
        <v>14</v>
      </c>
      <c r="BW609" s="62">
        <v>37832</v>
      </c>
      <c r="BX609">
        <v>10261</v>
      </c>
      <c r="BY609">
        <v>448</v>
      </c>
    </row>
    <row r="610" spans="49:77" x14ac:dyDescent="0.3">
      <c r="AW610" t="s">
        <v>8</v>
      </c>
      <c r="AX610" t="s">
        <v>14</v>
      </c>
      <c r="AY610" s="62">
        <v>37959</v>
      </c>
      <c r="AZ610">
        <v>10363</v>
      </c>
      <c r="BA610">
        <v>447.2</v>
      </c>
      <c r="BU610" t="s">
        <v>8</v>
      </c>
      <c r="BV610" t="s">
        <v>14</v>
      </c>
      <c r="BW610" s="62">
        <v>37959</v>
      </c>
      <c r="BX610">
        <v>10363</v>
      </c>
      <c r="BY610">
        <v>447.2</v>
      </c>
    </row>
    <row r="611" spans="49:77" x14ac:dyDescent="0.3">
      <c r="AW611" t="s">
        <v>8</v>
      </c>
      <c r="AX611" t="s">
        <v>18</v>
      </c>
      <c r="AY611" s="62">
        <v>38357</v>
      </c>
      <c r="AZ611">
        <v>10798</v>
      </c>
      <c r="BA611">
        <v>446.6</v>
      </c>
      <c r="BU611" t="s">
        <v>8</v>
      </c>
      <c r="BV611" t="s">
        <v>18</v>
      </c>
      <c r="BW611" s="62">
        <v>38357</v>
      </c>
      <c r="BX611">
        <v>10798</v>
      </c>
      <c r="BY611">
        <v>446.6</v>
      </c>
    </row>
    <row r="612" spans="49:77" x14ac:dyDescent="0.3">
      <c r="AW612" t="s">
        <v>8</v>
      </c>
      <c r="AX612" t="s">
        <v>14</v>
      </c>
      <c r="AY612" s="62">
        <v>38041</v>
      </c>
      <c r="AZ612">
        <v>10448</v>
      </c>
      <c r="BA612">
        <v>443.4</v>
      </c>
      <c r="BU612" t="s">
        <v>8</v>
      </c>
      <c r="BV612" t="s">
        <v>14</v>
      </c>
      <c r="BW612" s="62">
        <v>38041</v>
      </c>
      <c r="BX612">
        <v>10448</v>
      </c>
      <c r="BY612">
        <v>443.4</v>
      </c>
    </row>
    <row r="613" spans="49:77" x14ac:dyDescent="0.3">
      <c r="AW613" t="s">
        <v>8</v>
      </c>
      <c r="AX613" t="s">
        <v>287</v>
      </c>
      <c r="AY613" s="62">
        <v>37989</v>
      </c>
      <c r="AZ613">
        <v>10394</v>
      </c>
      <c r="BA613">
        <v>442</v>
      </c>
      <c r="BU613" t="s">
        <v>8</v>
      </c>
      <c r="BV613" t="s">
        <v>287</v>
      </c>
      <c r="BW613" s="62">
        <v>37989</v>
      </c>
      <c r="BX613">
        <v>10394</v>
      </c>
      <c r="BY613">
        <v>442</v>
      </c>
    </row>
    <row r="614" spans="49:77" x14ac:dyDescent="0.3">
      <c r="AW614" t="s">
        <v>8</v>
      </c>
      <c r="AX614" t="s">
        <v>14</v>
      </c>
      <c r="AY614" s="62">
        <v>38400</v>
      </c>
      <c r="AZ614">
        <v>10863</v>
      </c>
      <c r="BA614">
        <v>441.15</v>
      </c>
      <c r="BU614" t="s">
        <v>8</v>
      </c>
      <c r="BV614" t="s">
        <v>14</v>
      </c>
      <c r="BW614" s="62">
        <v>38400</v>
      </c>
      <c r="BX614">
        <v>10863</v>
      </c>
      <c r="BY614">
        <v>441.15</v>
      </c>
    </row>
    <row r="615" spans="49:77" x14ac:dyDescent="0.3">
      <c r="AW615" t="s">
        <v>7</v>
      </c>
      <c r="AX615" t="s">
        <v>17</v>
      </c>
      <c r="AY615" s="62">
        <v>37818</v>
      </c>
      <c r="AZ615">
        <v>10248</v>
      </c>
      <c r="BA615">
        <v>440</v>
      </c>
      <c r="BU615" t="s">
        <v>7</v>
      </c>
      <c r="BV615" t="s">
        <v>17</v>
      </c>
      <c r="BW615" s="62">
        <v>37818</v>
      </c>
      <c r="BX615">
        <v>10248</v>
      </c>
      <c r="BY615">
        <v>440</v>
      </c>
    </row>
    <row r="616" spans="49:77" x14ac:dyDescent="0.3">
      <c r="AW616" t="s">
        <v>8</v>
      </c>
      <c r="AX616" t="s">
        <v>15</v>
      </c>
      <c r="AY616" s="62">
        <v>38357</v>
      </c>
      <c r="AZ616">
        <v>10806</v>
      </c>
      <c r="BA616">
        <v>439.6</v>
      </c>
      <c r="BU616" t="s">
        <v>8</v>
      </c>
      <c r="BV616" t="s">
        <v>15</v>
      </c>
      <c r="BW616" s="62">
        <v>38357</v>
      </c>
      <c r="BX616">
        <v>10806</v>
      </c>
      <c r="BY616">
        <v>439.6</v>
      </c>
    </row>
    <row r="617" spans="49:77" x14ac:dyDescent="0.3">
      <c r="AW617" t="s">
        <v>7</v>
      </c>
      <c r="AX617" t="s">
        <v>13</v>
      </c>
      <c r="AY617" s="62">
        <v>38086</v>
      </c>
      <c r="AZ617">
        <v>10489</v>
      </c>
      <c r="BA617">
        <v>439.2</v>
      </c>
      <c r="BU617" t="s">
        <v>7</v>
      </c>
      <c r="BV617" t="s">
        <v>13</v>
      </c>
      <c r="BW617" s="62">
        <v>38086</v>
      </c>
      <c r="BX617">
        <v>10489</v>
      </c>
      <c r="BY617">
        <v>439.2</v>
      </c>
    </row>
    <row r="618" spans="49:77" x14ac:dyDescent="0.3">
      <c r="AW618" t="s">
        <v>8</v>
      </c>
      <c r="AX618" t="s">
        <v>15</v>
      </c>
      <c r="AY618" s="62">
        <v>38445</v>
      </c>
      <c r="AZ618">
        <v>10974</v>
      </c>
      <c r="BA618">
        <v>439</v>
      </c>
      <c r="BU618" t="s">
        <v>8</v>
      </c>
      <c r="BV618" t="s">
        <v>15</v>
      </c>
      <c r="BW618" s="62">
        <v>38445</v>
      </c>
      <c r="BX618">
        <v>10974</v>
      </c>
      <c r="BY618">
        <v>439</v>
      </c>
    </row>
    <row r="619" spans="49:77" x14ac:dyDescent="0.3">
      <c r="AW619" t="s">
        <v>7</v>
      </c>
      <c r="AX619" t="s">
        <v>17</v>
      </c>
      <c r="AY619" s="62">
        <v>37952</v>
      </c>
      <c r="AZ619">
        <v>10358</v>
      </c>
      <c r="BA619">
        <v>429.4</v>
      </c>
      <c r="BU619" t="s">
        <v>7</v>
      </c>
      <c r="BV619" t="s">
        <v>17</v>
      </c>
      <c r="BW619" s="62">
        <v>37952</v>
      </c>
      <c r="BX619">
        <v>10358</v>
      </c>
      <c r="BY619">
        <v>429.4</v>
      </c>
    </row>
    <row r="620" spans="49:77" x14ac:dyDescent="0.3">
      <c r="AW620" t="s">
        <v>8</v>
      </c>
      <c r="AX620" t="s">
        <v>14</v>
      </c>
      <c r="AY620" s="62">
        <v>38414</v>
      </c>
      <c r="AZ620">
        <v>10906</v>
      </c>
      <c r="BA620">
        <v>427.5</v>
      </c>
      <c r="BU620" t="s">
        <v>8</v>
      </c>
      <c r="BV620" t="s">
        <v>14</v>
      </c>
      <c r="BW620" s="62">
        <v>38414</v>
      </c>
      <c r="BX620">
        <v>10906</v>
      </c>
      <c r="BY620">
        <v>427.5</v>
      </c>
    </row>
    <row r="621" spans="49:77" x14ac:dyDescent="0.3">
      <c r="AW621" t="s">
        <v>8</v>
      </c>
      <c r="AX621" t="s">
        <v>289</v>
      </c>
      <c r="AY621" s="62">
        <v>38057</v>
      </c>
      <c r="AZ621">
        <v>10450</v>
      </c>
      <c r="BA621">
        <v>425.12</v>
      </c>
      <c r="BU621" t="s">
        <v>8</v>
      </c>
      <c r="BV621" t="s">
        <v>289</v>
      </c>
      <c r="BW621" s="62">
        <v>38057</v>
      </c>
      <c r="BX621">
        <v>10450</v>
      </c>
      <c r="BY621">
        <v>425.12</v>
      </c>
    </row>
    <row r="622" spans="49:77" x14ac:dyDescent="0.3">
      <c r="AW622" t="s">
        <v>8</v>
      </c>
      <c r="AX622" t="s">
        <v>18</v>
      </c>
      <c r="AY622" s="62">
        <v>37889</v>
      </c>
      <c r="AZ622">
        <v>10307</v>
      </c>
      <c r="BA622">
        <v>424</v>
      </c>
      <c r="BU622" t="s">
        <v>8</v>
      </c>
      <c r="BV622" t="s">
        <v>18</v>
      </c>
      <c r="BW622" s="62">
        <v>37889</v>
      </c>
      <c r="BX622">
        <v>10307</v>
      </c>
      <c r="BY622">
        <v>424</v>
      </c>
    </row>
    <row r="623" spans="49:77" x14ac:dyDescent="0.3">
      <c r="AW623" t="s">
        <v>7</v>
      </c>
      <c r="AX623" t="s">
        <v>288</v>
      </c>
      <c r="AY623" s="62">
        <v>38198</v>
      </c>
      <c r="AZ623">
        <v>10609</v>
      </c>
      <c r="BA623">
        <v>424</v>
      </c>
      <c r="BU623" t="s">
        <v>7</v>
      </c>
      <c r="BV623" t="s">
        <v>288</v>
      </c>
      <c r="BW623" s="62">
        <v>38198</v>
      </c>
      <c r="BX623">
        <v>10609</v>
      </c>
      <c r="BY623">
        <v>424</v>
      </c>
    </row>
    <row r="624" spans="49:77" x14ac:dyDescent="0.3">
      <c r="AW624" t="s">
        <v>8</v>
      </c>
      <c r="AX624" t="s">
        <v>289</v>
      </c>
      <c r="AY624" s="62">
        <v>37847</v>
      </c>
      <c r="AZ624">
        <v>10276</v>
      </c>
      <c r="BA624">
        <v>420</v>
      </c>
      <c r="BU624" t="s">
        <v>8</v>
      </c>
      <c r="BV624" t="s">
        <v>289</v>
      </c>
      <c r="BW624" s="62">
        <v>37847</v>
      </c>
      <c r="BX624">
        <v>10276</v>
      </c>
      <c r="BY624">
        <v>420</v>
      </c>
    </row>
    <row r="625" spans="49:77" x14ac:dyDescent="0.3">
      <c r="AW625" t="s">
        <v>7</v>
      </c>
      <c r="AX625" t="s">
        <v>288</v>
      </c>
      <c r="AY625" s="62">
        <v>38357</v>
      </c>
      <c r="AZ625">
        <v>10797</v>
      </c>
      <c r="BA625">
        <v>420</v>
      </c>
      <c r="BU625" t="s">
        <v>7</v>
      </c>
      <c r="BV625" t="s">
        <v>288</v>
      </c>
      <c r="BW625" s="62">
        <v>38357</v>
      </c>
      <c r="BX625">
        <v>10797</v>
      </c>
      <c r="BY625">
        <v>420</v>
      </c>
    </row>
    <row r="626" spans="49:77" x14ac:dyDescent="0.3">
      <c r="AW626" t="s">
        <v>8</v>
      </c>
      <c r="AX626" t="s">
        <v>14</v>
      </c>
      <c r="AY626" s="62">
        <v>38137</v>
      </c>
      <c r="AZ626">
        <v>10544</v>
      </c>
      <c r="BA626">
        <v>417.2</v>
      </c>
      <c r="BU626" t="s">
        <v>8</v>
      </c>
      <c r="BV626" t="s">
        <v>14</v>
      </c>
      <c r="BW626" s="62">
        <v>38137</v>
      </c>
      <c r="BX626">
        <v>10544</v>
      </c>
      <c r="BY626">
        <v>417.2</v>
      </c>
    </row>
    <row r="627" spans="49:77" x14ac:dyDescent="0.3">
      <c r="AW627" t="s">
        <v>7</v>
      </c>
      <c r="AX627" t="s">
        <v>16</v>
      </c>
      <c r="AY627" s="62">
        <v>38109</v>
      </c>
      <c r="AZ627">
        <v>10506</v>
      </c>
      <c r="BA627">
        <v>415.8</v>
      </c>
      <c r="BU627" t="s">
        <v>7</v>
      </c>
      <c r="BV627" t="s">
        <v>16</v>
      </c>
      <c r="BW627" s="62">
        <v>38109</v>
      </c>
      <c r="BX627">
        <v>10506</v>
      </c>
      <c r="BY627">
        <v>415.8</v>
      </c>
    </row>
    <row r="628" spans="49:77" x14ac:dyDescent="0.3">
      <c r="AW628" t="s">
        <v>8</v>
      </c>
      <c r="AX628" t="s">
        <v>18</v>
      </c>
      <c r="AY628" s="62">
        <v>38249</v>
      </c>
      <c r="AZ628">
        <v>10673</v>
      </c>
      <c r="BA628">
        <v>412.35</v>
      </c>
      <c r="BU628" t="s">
        <v>8</v>
      </c>
      <c r="BV628" t="s">
        <v>18</v>
      </c>
      <c r="BW628" s="62">
        <v>38249</v>
      </c>
      <c r="BX628">
        <v>10673</v>
      </c>
      <c r="BY628">
        <v>412.35</v>
      </c>
    </row>
    <row r="629" spans="49:77" x14ac:dyDescent="0.3">
      <c r="AW629" t="s">
        <v>8</v>
      </c>
      <c r="AX629" t="s">
        <v>287</v>
      </c>
      <c r="AY629" s="62">
        <v>38043</v>
      </c>
      <c r="AZ629">
        <v>10453</v>
      </c>
      <c r="BA629">
        <v>407.7</v>
      </c>
      <c r="BU629" t="s">
        <v>8</v>
      </c>
      <c r="BV629" t="s">
        <v>287</v>
      </c>
      <c r="BW629" s="62">
        <v>38043</v>
      </c>
      <c r="BX629">
        <v>10453</v>
      </c>
      <c r="BY629">
        <v>407.7</v>
      </c>
    </row>
    <row r="630" spans="49:77" x14ac:dyDescent="0.3">
      <c r="AW630" t="s">
        <v>8</v>
      </c>
      <c r="AX630" t="s">
        <v>18</v>
      </c>
      <c r="AY630" s="62">
        <v>38473</v>
      </c>
      <c r="AZ630">
        <v>11042</v>
      </c>
      <c r="BA630">
        <v>405.75</v>
      </c>
      <c r="BU630" t="s">
        <v>8</v>
      </c>
      <c r="BV630" t="s">
        <v>18</v>
      </c>
      <c r="BW630" s="62">
        <v>38473</v>
      </c>
      <c r="BX630">
        <v>11042</v>
      </c>
      <c r="BY630">
        <v>405.75</v>
      </c>
    </row>
    <row r="631" spans="49:77" x14ac:dyDescent="0.3">
      <c r="AW631" t="s">
        <v>8</v>
      </c>
      <c r="AX631" t="s">
        <v>15</v>
      </c>
      <c r="AY631" s="62">
        <v>37957</v>
      </c>
      <c r="AZ631">
        <v>10365</v>
      </c>
      <c r="BA631">
        <v>403.2</v>
      </c>
      <c r="BU631" t="s">
        <v>8</v>
      </c>
      <c r="BV631" t="s">
        <v>15</v>
      </c>
      <c r="BW631" s="62">
        <v>37957</v>
      </c>
      <c r="BX631">
        <v>10365</v>
      </c>
      <c r="BY631">
        <v>403.2</v>
      </c>
    </row>
    <row r="632" spans="49:77" x14ac:dyDescent="0.3">
      <c r="AW632" t="s">
        <v>8</v>
      </c>
      <c r="AX632" t="s">
        <v>287</v>
      </c>
      <c r="AY632" s="62">
        <v>38008</v>
      </c>
      <c r="AZ632">
        <v>10405</v>
      </c>
      <c r="BA632">
        <v>400</v>
      </c>
      <c r="BU632" t="s">
        <v>8</v>
      </c>
      <c r="BV632" t="s">
        <v>287</v>
      </c>
      <c r="BW632" s="62">
        <v>38008</v>
      </c>
      <c r="BX632">
        <v>10405</v>
      </c>
      <c r="BY632">
        <v>400</v>
      </c>
    </row>
    <row r="633" spans="49:77" x14ac:dyDescent="0.3">
      <c r="AW633" t="s">
        <v>8</v>
      </c>
      <c r="AX633" t="s">
        <v>287</v>
      </c>
      <c r="AY633" s="62">
        <v>38352</v>
      </c>
      <c r="AZ633">
        <v>10792</v>
      </c>
      <c r="BA633">
        <v>399.85</v>
      </c>
      <c r="BU633" t="s">
        <v>8</v>
      </c>
      <c r="BV633" t="s">
        <v>287</v>
      </c>
      <c r="BW633" s="62">
        <v>38352</v>
      </c>
      <c r="BX633">
        <v>10792</v>
      </c>
      <c r="BY633">
        <v>399.85</v>
      </c>
    </row>
    <row r="634" spans="49:77" x14ac:dyDescent="0.3">
      <c r="AW634" t="s">
        <v>8</v>
      </c>
      <c r="AX634" t="s">
        <v>287</v>
      </c>
      <c r="AY634" s="62">
        <v>37968</v>
      </c>
      <c r="AZ634">
        <v>10376</v>
      </c>
      <c r="BA634">
        <v>399</v>
      </c>
      <c r="BU634" t="s">
        <v>8</v>
      </c>
      <c r="BV634" t="s">
        <v>287</v>
      </c>
      <c r="BW634" s="62">
        <v>37968</v>
      </c>
      <c r="BX634">
        <v>10376</v>
      </c>
      <c r="BY634">
        <v>399</v>
      </c>
    </row>
    <row r="635" spans="49:77" x14ac:dyDescent="0.3">
      <c r="AW635" t="s">
        <v>8</v>
      </c>
      <c r="AX635" t="s">
        <v>289</v>
      </c>
      <c r="AY635" s="62">
        <v>38241</v>
      </c>
      <c r="AZ635">
        <v>10651</v>
      </c>
      <c r="BA635">
        <v>397.8</v>
      </c>
      <c r="BU635" t="s">
        <v>8</v>
      </c>
      <c r="BV635" t="s">
        <v>289</v>
      </c>
      <c r="BW635" s="62">
        <v>38241</v>
      </c>
      <c r="BX635">
        <v>10651</v>
      </c>
      <c r="BY635">
        <v>397.8</v>
      </c>
    </row>
    <row r="636" spans="49:77" x14ac:dyDescent="0.3">
      <c r="AW636" t="s">
        <v>8</v>
      </c>
      <c r="AX636" t="s">
        <v>289</v>
      </c>
      <c r="AY636" s="62">
        <v>38029</v>
      </c>
      <c r="AZ636">
        <v>10437</v>
      </c>
      <c r="BA636">
        <v>393</v>
      </c>
      <c r="BU636" t="s">
        <v>8</v>
      </c>
      <c r="BV636" t="s">
        <v>289</v>
      </c>
      <c r="BW636" s="62">
        <v>38029</v>
      </c>
      <c r="BX636">
        <v>10437</v>
      </c>
      <c r="BY636">
        <v>393</v>
      </c>
    </row>
    <row r="637" spans="49:77" x14ac:dyDescent="0.3">
      <c r="AW637" t="s">
        <v>7</v>
      </c>
      <c r="AX637" t="s">
        <v>13</v>
      </c>
      <c r="AY637" s="62">
        <v>38116</v>
      </c>
      <c r="AZ637">
        <v>10528</v>
      </c>
      <c r="BA637">
        <v>392.2</v>
      </c>
      <c r="BU637" t="s">
        <v>7</v>
      </c>
      <c r="BV637" t="s">
        <v>13</v>
      </c>
      <c r="BW637" s="62">
        <v>38116</v>
      </c>
      <c r="BX637">
        <v>10528</v>
      </c>
      <c r="BY637">
        <v>392.2</v>
      </c>
    </row>
    <row r="638" spans="49:77" x14ac:dyDescent="0.3">
      <c r="AW638" t="s">
        <v>8</v>
      </c>
      <c r="AX638" t="s">
        <v>14</v>
      </c>
      <c r="AY638" s="62">
        <v>38420</v>
      </c>
      <c r="AZ638">
        <v>10920</v>
      </c>
      <c r="BA638">
        <v>390</v>
      </c>
      <c r="BU638" t="s">
        <v>8</v>
      </c>
      <c r="BV638" t="s">
        <v>14</v>
      </c>
      <c r="BW638" s="62">
        <v>38420</v>
      </c>
      <c r="BX638">
        <v>10920</v>
      </c>
      <c r="BY638">
        <v>390</v>
      </c>
    </row>
    <row r="639" spans="49:77" x14ac:dyDescent="0.3">
      <c r="AW639" t="s">
        <v>8</v>
      </c>
      <c r="AX639" t="s">
        <v>287</v>
      </c>
      <c r="AY639" s="62">
        <v>38345</v>
      </c>
      <c r="AZ639">
        <v>10785</v>
      </c>
      <c r="BA639">
        <v>387.5</v>
      </c>
      <c r="BU639" t="s">
        <v>8</v>
      </c>
      <c r="BV639" t="s">
        <v>287</v>
      </c>
      <c r="BW639" s="62">
        <v>38345</v>
      </c>
      <c r="BX639">
        <v>10785</v>
      </c>
      <c r="BY639">
        <v>387.5</v>
      </c>
    </row>
    <row r="640" spans="49:77" x14ac:dyDescent="0.3">
      <c r="AW640" t="s">
        <v>8</v>
      </c>
      <c r="AX640" t="s">
        <v>15</v>
      </c>
      <c r="AY640" s="62">
        <v>38078</v>
      </c>
      <c r="AZ640">
        <v>10484</v>
      </c>
      <c r="BA640">
        <v>386.2</v>
      </c>
      <c r="BU640" t="s">
        <v>8</v>
      </c>
      <c r="BV640" t="s">
        <v>15</v>
      </c>
      <c r="BW640" s="62">
        <v>38078</v>
      </c>
      <c r="BX640">
        <v>10484</v>
      </c>
      <c r="BY640">
        <v>386.2</v>
      </c>
    </row>
    <row r="641" spans="49:77" x14ac:dyDescent="0.3">
      <c r="AW641" t="s">
        <v>7</v>
      </c>
      <c r="AX641" t="s">
        <v>16</v>
      </c>
      <c r="AY641" s="62">
        <v>38309</v>
      </c>
      <c r="AZ641">
        <v>10705</v>
      </c>
      <c r="BA641">
        <v>378</v>
      </c>
      <c r="BU641" t="s">
        <v>7</v>
      </c>
      <c r="BV641" t="s">
        <v>16</v>
      </c>
      <c r="BW641" s="62">
        <v>38309</v>
      </c>
      <c r="BX641">
        <v>10705</v>
      </c>
      <c r="BY641">
        <v>378</v>
      </c>
    </row>
    <row r="642" spans="49:77" x14ac:dyDescent="0.3">
      <c r="AW642" t="s">
        <v>8</v>
      </c>
      <c r="AX642" t="s">
        <v>15</v>
      </c>
      <c r="AY642" s="62">
        <v>38261</v>
      </c>
      <c r="AZ642">
        <v>10682</v>
      </c>
      <c r="BA642">
        <v>375.5</v>
      </c>
      <c r="BU642" t="s">
        <v>8</v>
      </c>
      <c r="BV642" t="s">
        <v>15</v>
      </c>
      <c r="BW642" s="62">
        <v>38261</v>
      </c>
      <c r="BX642">
        <v>10682</v>
      </c>
      <c r="BY642">
        <v>375.5</v>
      </c>
    </row>
    <row r="643" spans="49:77" x14ac:dyDescent="0.3">
      <c r="AW643" t="s">
        <v>7</v>
      </c>
      <c r="AX643" t="s">
        <v>17</v>
      </c>
      <c r="AY643" s="62">
        <v>38239</v>
      </c>
      <c r="AZ643">
        <v>10648</v>
      </c>
      <c r="BA643">
        <v>372.37</v>
      </c>
      <c r="BU643" t="s">
        <v>7</v>
      </c>
      <c r="BV643" t="s">
        <v>17</v>
      </c>
      <c r="BW643" s="62">
        <v>38239</v>
      </c>
      <c r="BX643">
        <v>10648</v>
      </c>
      <c r="BY643">
        <v>372.37</v>
      </c>
    </row>
    <row r="644" spans="49:77" x14ac:dyDescent="0.3">
      <c r="AW644" t="s">
        <v>7</v>
      </c>
      <c r="AX644" t="s">
        <v>288</v>
      </c>
      <c r="AY644" s="62">
        <v>38402</v>
      </c>
      <c r="AZ644">
        <v>10891</v>
      </c>
      <c r="BA644">
        <v>368.93</v>
      </c>
      <c r="BU644" t="s">
        <v>7</v>
      </c>
      <c r="BV644" t="s">
        <v>288</v>
      </c>
      <c r="BW644" s="62">
        <v>38402</v>
      </c>
      <c r="BX644">
        <v>10891</v>
      </c>
      <c r="BY644">
        <v>368.93</v>
      </c>
    </row>
    <row r="645" spans="49:77" x14ac:dyDescent="0.3">
      <c r="AW645" t="s">
        <v>8</v>
      </c>
      <c r="AX645" t="s">
        <v>14</v>
      </c>
      <c r="AY645" s="62">
        <v>38422</v>
      </c>
      <c r="AZ645">
        <v>10917</v>
      </c>
      <c r="BA645">
        <v>365.89</v>
      </c>
      <c r="BU645" t="s">
        <v>8</v>
      </c>
      <c r="BV645" t="s">
        <v>14</v>
      </c>
      <c r="BW645" s="62">
        <v>38422</v>
      </c>
      <c r="BX645">
        <v>10917</v>
      </c>
      <c r="BY645">
        <v>365.89</v>
      </c>
    </row>
    <row r="646" spans="49:77" x14ac:dyDescent="0.3">
      <c r="AW646" t="s">
        <v>8</v>
      </c>
      <c r="AX646" t="s">
        <v>14</v>
      </c>
      <c r="AY646" s="62">
        <v>37940</v>
      </c>
      <c r="AZ646">
        <v>10348</v>
      </c>
      <c r="BA646">
        <v>363.6</v>
      </c>
      <c r="BU646" t="s">
        <v>8</v>
      </c>
      <c r="BV646" t="s">
        <v>14</v>
      </c>
      <c r="BW646" s="62">
        <v>37940</v>
      </c>
      <c r="BX646">
        <v>10348</v>
      </c>
      <c r="BY646">
        <v>363.6</v>
      </c>
    </row>
    <row r="647" spans="49:77" x14ac:dyDescent="0.3">
      <c r="AW647" t="s">
        <v>8</v>
      </c>
      <c r="AX647" t="s">
        <v>18</v>
      </c>
      <c r="AY647" s="62">
        <v>38452</v>
      </c>
      <c r="AZ647">
        <v>11013</v>
      </c>
      <c r="BA647">
        <v>361</v>
      </c>
      <c r="BU647" t="s">
        <v>8</v>
      </c>
      <c r="BV647" t="s">
        <v>18</v>
      </c>
      <c r="BW647" s="62">
        <v>38452</v>
      </c>
      <c r="BX647">
        <v>11013</v>
      </c>
      <c r="BY647">
        <v>361</v>
      </c>
    </row>
    <row r="648" spans="49:77" x14ac:dyDescent="0.3">
      <c r="AW648" t="s">
        <v>8</v>
      </c>
      <c r="AX648" t="s">
        <v>15</v>
      </c>
      <c r="AY648" s="62">
        <v>38298</v>
      </c>
      <c r="AZ648">
        <v>10732</v>
      </c>
      <c r="BA648">
        <v>360</v>
      </c>
      <c r="BU648" t="s">
        <v>8</v>
      </c>
      <c r="BV648" t="s">
        <v>15</v>
      </c>
      <c r="BW648" s="62">
        <v>38298</v>
      </c>
      <c r="BX648">
        <v>10732</v>
      </c>
      <c r="BY648">
        <v>360</v>
      </c>
    </row>
    <row r="649" spans="49:77" x14ac:dyDescent="0.3">
      <c r="AW649" t="s">
        <v>8</v>
      </c>
      <c r="AX649" t="s">
        <v>289</v>
      </c>
      <c r="AY649" s="62">
        <v>38434</v>
      </c>
      <c r="AZ649">
        <v>10940</v>
      </c>
      <c r="BA649">
        <v>360</v>
      </c>
      <c r="BU649" t="s">
        <v>8</v>
      </c>
      <c r="BV649" t="s">
        <v>289</v>
      </c>
      <c r="BW649" s="62">
        <v>38434</v>
      </c>
      <c r="BX649">
        <v>10940</v>
      </c>
      <c r="BY649">
        <v>360</v>
      </c>
    </row>
    <row r="650" spans="49:77" x14ac:dyDescent="0.3">
      <c r="AW650" t="s">
        <v>7</v>
      </c>
      <c r="AX650" t="s">
        <v>13</v>
      </c>
      <c r="AY650" s="62">
        <v>38031</v>
      </c>
      <c r="AZ650">
        <v>10425</v>
      </c>
      <c r="BA650">
        <v>360</v>
      </c>
      <c r="BU650" t="s">
        <v>7</v>
      </c>
      <c r="BV650" t="s">
        <v>13</v>
      </c>
      <c r="BW650" s="62">
        <v>38031</v>
      </c>
      <c r="BX650">
        <v>10425</v>
      </c>
      <c r="BY650">
        <v>360</v>
      </c>
    </row>
    <row r="651" spans="49:77" x14ac:dyDescent="0.3">
      <c r="AW651" t="s">
        <v>7</v>
      </c>
      <c r="AX651" t="s">
        <v>13</v>
      </c>
      <c r="AY651" s="62">
        <v>38130</v>
      </c>
      <c r="AZ651">
        <v>10539</v>
      </c>
      <c r="BA651">
        <v>355.5</v>
      </c>
      <c r="BU651" t="s">
        <v>7</v>
      </c>
      <c r="BV651" t="s">
        <v>13</v>
      </c>
      <c r="BW651" s="62">
        <v>38130</v>
      </c>
      <c r="BX651">
        <v>10539</v>
      </c>
      <c r="BY651">
        <v>355.5</v>
      </c>
    </row>
    <row r="652" spans="49:77" x14ac:dyDescent="0.3">
      <c r="AW652" t="s">
        <v>8</v>
      </c>
      <c r="AX652" t="s">
        <v>14</v>
      </c>
      <c r="AY652" s="62">
        <v>38200</v>
      </c>
      <c r="AZ652">
        <v>10613</v>
      </c>
      <c r="BA652">
        <v>353.2</v>
      </c>
      <c r="BU652" t="s">
        <v>8</v>
      </c>
      <c r="BV652" t="s">
        <v>14</v>
      </c>
      <c r="BW652" s="62">
        <v>38200</v>
      </c>
      <c r="BX652">
        <v>10613</v>
      </c>
      <c r="BY652">
        <v>353.2</v>
      </c>
    </row>
    <row r="653" spans="49:77" x14ac:dyDescent="0.3">
      <c r="AW653" t="s">
        <v>7</v>
      </c>
      <c r="AX653" t="s">
        <v>288</v>
      </c>
      <c r="AY653" s="62">
        <v>37930</v>
      </c>
      <c r="AZ653">
        <v>10341</v>
      </c>
      <c r="BA653">
        <v>352.6</v>
      </c>
      <c r="BU653" t="s">
        <v>7</v>
      </c>
      <c r="BV653" t="s">
        <v>288</v>
      </c>
      <c r="BW653" s="62">
        <v>37930</v>
      </c>
      <c r="BX653">
        <v>10341</v>
      </c>
      <c r="BY653">
        <v>352.6</v>
      </c>
    </row>
    <row r="654" spans="49:77" x14ac:dyDescent="0.3">
      <c r="AW654" t="s">
        <v>8</v>
      </c>
      <c r="AX654" t="s">
        <v>15</v>
      </c>
      <c r="AY654" s="62">
        <v>38106</v>
      </c>
      <c r="AZ654">
        <v>10517</v>
      </c>
      <c r="BA654">
        <v>352</v>
      </c>
      <c r="BU654" t="s">
        <v>8</v>
      </c>
      <c r="BV654" t="s">
        <v>15</v>
      </c>
      <c r="BW654" s="62">
        <v>38106</v>
      </c>
      <c r="BX654">
        <v>10517</v>
      </c>
      <c r="BY654">
        <v>352</v>
      </c>
    </row>
    <row r="655" spans="49:77" x14ac:dyDescent="0.3">
      <c r="AW655" t="s">
        <v>8</v>
      </c>
      <c r="AX655" t="s">
        <v>289</v>
      </c>
      <c r="AY655" s="62">
        <v>37849</v>
      </c>
      <c r="AZ655">
        <v>10279</v>
      </c>
      <c r="BA655">
        <v>351</v>
      </c>
      <c r="BU655" t="s">
        <v>8</v>
      </c>
      <c r="BV655" t="s">
        <v>289</v>
      </c>
      <c r="BW655" s="62">
        <v>37849</v>
      </c>
      <c r="BX655">
        <v>10279</v>
      </c>
      <c r="BY655">
        <v>351</v>
      </c>
    </row>
    <row r="656" spans="49:77" x14ac:dyDescent="0.3">
      <c r="AW656" t="s">
        <v>8</v>
      </c>
      <c r="AX656" t="s">
        <v>14</v>
      </c>
      <c r="AY656" s="62">
        <v>37877</v>
      </c>
      <c r="AZ656">
        <v>10299</v>
      </c>
      <c r="BA656">
        <v>349.5</v>
      </c>
      <c r="BU656" t="s">
        <v>8</v>
      </c>
      <c r="BV656" t="s">
        <v>14</v>
      </c>
      <c r="BW656" s="62">
        <v>37877</v>
      </c>
      <c r="BX656">
        <v>10299</v>
      </c>
      <c r="BY656">
        <v>349.5</v>
      </c>
    </row>
    <row r="657" spans="49:77" x14ac:dyDescent="0.3">
      <c r="AW657" t="s">
        <v>8</v>
      </c>
      <c r="AX657" t="s">
        <v>15</v>
      </c>
      <c r="AY657" s="62">
        <v>37833</v>
      </c>
      <c r="AZ657">
        <v>10266</v>
      </c>
      <c r="BA657">
        <v>346.56</v>
      </c>
      <c r="BU657" t="s">
        <v>8</v>
      </c>
      <c r="BV657" t="s">
        <v>15</v>
      </c>
      <c r="BW657" s="62">
        <v>37833</v>
      </c>
      <c r="BX657">
        <v>10266</v>
      </c>
      <c r="BY657">
        <v>346.56</v>
      </c>
    </row>
    <row r="658" spans="49:77" x14ac:dyDescent="0.3">
      <c r="AW658" t="s">
        <v>7</v>
      </c>
      <c r="AX658" t="s">
        <v>16</v>
      </c>
      <c r="AY658" s="62">
        <v>37988</v>
      </c>
      <c r="AZ658">
        <v>10771</v>
      </c>
      <c r="BA658">
        <v>344</v>
      </c>
      <c r="BU658" t="s">
        <v>7</v>
      </c>
      <c r="BV658" t="s">
        <v>16</v>
      </c>
      <c r="BW658" s="62">
        <v>37988</v>
      </c>
      <c r="BX658">
        <v>10771</v>
      </c>
      <c r="BY658">
        <v>344</v>
      </c>
    </row>
    <row r="659" spans="49:77" x14ac:dyDescent="0.3">
      <c r="AW659" t="s">
        <v>7</v>
      </c>
      <c r="AX659" t="s">
        <v>16</v>
      </c>
      <c r="AY659" s="62">
        <v>38417</v>
      </c>
      <c r="AZ659">
        <v>10905</v>
      </c>
      <c r="BA659">
        <v>342</v>
      </c>
      <c r="BU659" t="s">
        <v>7</v>
      </c>
      <c r="BV659" t="s">
        <v>16</v>
      </c>
      <c r="BW659" s="62">
        <v>38417</v>
      </c>
      <c r="BX659">
        <v>10905</v>
      </c>
      <c r="BY659">
        <v>342</v>
      </c>
    </row>
    <row r="660" spans="49:77" x14ac:dyDescent="0.3">
      <c r="AW660" t="s">
        <v>8</v>
      </c>
      <c r="AX660" t="s">
        <v>14</v>
      </c>
      <c r="AY660" s="62">
        <v>38023</v>
      </c>
      <c r="AZ660">
        <v>10426</v>
      </c>
      <c r="BA660">
        <v>338.2</v>
      </c>
      <c r="BU660" t="s">
        <v>8</v>
      </c>
      <c r="BV660" t="s">
        <v>14</v>
      </c>
      <c r="BW660" s="62">
        <v>38023</v>
      </c>
      <c r="BX660">
        <v>10426</v>
      </c>
      <c r="BY660">
        <v>338.2</v>
      </c>
    </row>
    <row r="661" spans="49:77" x14ac:dyDescent="0.3">
      <c r="AW661" t="s">
        <v>8</v>
      </c>
      <c r="AX661" t="s">
        <v>15</v>
      </c>
      <c r="AY661" s="62">
        <v>37964</v>
      </c>
      <c r="AZ661">
        <v>10375</v>
      </c>
      <c r="BA661">
        <v>338</v>
      </c>
      <c r="BU661" t="s">
        <v>8</v>
      </c>
      <c r="BV661" t="s">
        <v>15</v>
      </c>
      <c r="BW661" s="62">
        <v>37964</v>
      </c>
      <c r="BX661">
        <v>10375</v>
      </c>
      <c r="BY661">
        <v>338</v>
      </c>
    </row>
    <row r="662" spans="49:77" x14ac:dyDescent="0.3">
      <c r="AW662" t="s">
        <v>8</v>
      </c>
      <c r="AX662" t="s">
        <v>14</v>
      </c>
      <c r="AY662" s="62">
        <v>38392</v>
      </c>
      <c r="AZ662">
        <v>10873</v>
      </c>
      <c r="BA662">
        <v>336.8</v>
      </c>
      <c r="BU662" t="s">
        <v>8</v>
      </c>
      <c r="BV662" t="s">
        <v>14</v>
      </c>
      <c r="BW662" s="62">
        <v>38392</v>
      </c>
      <c r="BX662">
        <v>10873</v>
      </c>
      <c r="BY662">
        <v>336.8</v>
      </c>
    </row>
    <row r="663" spans="49:77" x14ac:dyDescent="0.3">
      <c r="AW663" t="s">
        <v>8</v>
      </c>
      <c r="AX663" t="s">
        <v>289</v>
      </c>
      <c r="AY663" s="62">
        <v>37891</v>
      </c>
      <c r="AZ663">
        <v>10310</v>
      </c>
      <c r="BA663">
        <v>336</v>
      </c>
      <c r="BU663" t="s">
        <v>8</v>
      </c>
      <c r="BV663" t="s">
        <v>289</v>
      </c>
      <c r="BW663" s="62">
        <v>37891</v>
      </c>
      <c r="BX663">
        <v>10310</v>
      </c>
      <c r="BY663">
        <v>336</v>
      </c>
    </row>
    <row r="664" spans="49:77" x14ac:dyDescent="0.3">
      <c r="AW664" t="s">
        <v>8</v>
      </c>
      <c r="AX664" t="s">
        <v>289</v>
      </c>
      <c r="AY664" s="62">
        <v>38001</v>
      </c>
      <c r="AZ664">
        <v>10412</v>
      </c>
      <c r="BA664">
        <v>334.8</v>
      </c>
      <c r="BU664" t="s">
        <v>8</v>
      </c>
      <c r="BV664" t="s">
        <v>289</v>
      </c>
      <c r="BW664" s="62">
        <v>38001</v>
      </c>
      <c r="BX664">
        <v>10412</v>
      </c>
      <c r="BY664">
        <v>334.8</v>
      </c>
    </row>
    <row r="665" spans="49:77" x14ac:dyDescent="0.3">
      <c r="AW665" t="s">
        <v>8</v>
      </c>
      <c r="AX665" t="s">
        <v>14</v>
      </c>
      <c r="AY665" s="62">
        <v>38042</v>
      </c>
      <c r="AZ665">
        <v>10454</v>
      </c>
      <c r="BA665">
        <v>331.2</v>
      </c>
      <c r="BU665" t="s">
        <v>8</v>
      </c>
      <c r="BV665" t="s">
        <v>14</v>
      </c>
      <c r="BW665" s="62">
        <v>38042</v>
      </c>
      <c r="BX665">
        <v>10454</v>
      </c>
      <c r="BY665">
        <v>331.2</v>
      </c>
    </row>
    <row r="666" spans="49:77" x14ac:dyDescent="0.3">
      <c r="AW666" t="s">
        <v>8</v>
      </c>
      <c r="AX666" t="s">
        <v>15</v>
      </c>
      <c r="AY666" s="62">
        <v>38182</v>
      </c>
      <c r="AZ666">
        <v>10582</v>
      </c>
      <c r="BA666">
        <v>330</v>
      </c>
      <c r="BU666" t="s">
        <v>8</v>
      </c>
      <c r="BV666" t="s">
        <v>15</v>
      </c>
      <c r="BW666" s="62">
        <v>38182</v>
      </c>
      <c r="BX666">
        <v>10582</v>
      </c>
      <c r="BY666">
        <v>330</v>
      </c>
    </row>
    <row r="667" spans="49:77" x14ac:dyDescent="0.3">
      <c r="AW667" t="s">
        <v>8</v>
      </c>
      <c r="AX667" t="s">
        <v>14</v>
      </c>
      <c r="AY667" s="62">
        <v>38281</v>
      </c>
      <c r="AZ667">
        <v>10702</v>
      </c>
      <c r="BA667">
        <v>330</v>
      </c>
      <c r="BU667" t="s">
        <v>8</v>
      </c>
      <c r="BV667" t="s">
        <v>14</v>
      </c>
      <c r="BW667" s="62">
        <v>38281</v>
      </c>
      <c r="BX667">
        <v>10702</v>
      </c>
      <c r="BY667">
        <v>330</v>
      </c>
    </row>
    <row r="668" spans="49:77" x14ac:dyDescent="0.3">
      <c r="AW668" t="s">
        <v>8</v>
      </c>
      <c r="AX668" t="s">
        <v>15</v>
      </c>
      <c r="AY668" s="62">
        <v>38457</v>
      </c>
      <c r="AZ668">
        <v>11006</v>
      </c>
      <c r="BA668">
        <v>329.69</v>
      </c>
      <c r="BU668" t="s">
        <v>8</v>
      </c>
      <c r="BV668" t="s">
        <v>15</v>
      </c>
      <c r="BW668" s="62">
        <v>38457</v>
      </c>
      <c r="BX668">
        <v>11006</v>
      </c>
      <c r="BY668">
        <v>329.69</v>
      </c>
    </row>
    <row r="669" spans="49:77" x14ac:dyDescent="0.3">
      <c r="AW669" t="s">
        <v>8</v>
      </c>
      <c r="AX669" t="s">
        <v>15</v>
      </c>
      <c r="AY669" s="62">
        <v>38450</v>
      </c>
      <c r="AZ669">
        <v>11003</v>
      </c>
      <c r="BA669">
        <v>326</v>
      </c>
      <c r="BU669" t="s">
        <v>8</v>
      </c>
      <c r="BV669" t="s">
        <v>15</v>
      </c>
      <c r="BW669" s="62">
        <v>38450</v>
      </c>
      <c r="BX669">
        <v>11003</v>
      </c>
      <c r="BY669">
        <v>326</v>
      </c>
    </row>
    <row r="670" spans="49:77" x14ac:dyDescent="0.3">
      <c r="AW670" t="s">
        <v>8</v>
      </c>
      <c r="AX670" t="s">
        <v>15</v>
      </c>
      <c r="AY670" s="62">
        <v>38030</v>
      </c>
      <c r="AZ670">
        <v>10434</v>
      </c>
      <c r="BA670">
        <v>321.12</v>
      </c>
      <c r="BU670" t="s">
        <v>8</v>
      </c>
      <c r="BV670" t="s">
        <v>15</v>
      </c>
      <c r="BW670" s="62">
        <v>38030</v>
      </c>
      <c r="BX670">
        <v>10434</v>
      </c>
      <c r="BY670">
        <v>321.12</v>
      </c>
    </row>
    <row r="671" spans="49:77" x14ac:dyDescent="0.3">
      <c r="AW671" t="s">
        <v>8</v>
      </c>
      <c r="AX671" t="s">
        <v>15</v>
      </c>
      <c r="AY671" s="62">
        <v>38333</v>
      </c>
      <c r="AZ671">
        <v>10759</v>
      </c>
      <c r="BA671">
        <v>320</v>
      </c>
      <c r="BU671" t="s">
        <v>8</v>
      </c>
      <c r="BV671" t="s">
        <v>15</v>
      </c>
      <c r="BW671" s="62">
        <v>38333</v>
      </c>
      <c r="BX671">
        <v>10759</v>
      </c>
      <c r="BY671">
        <v>320</v>
      </c>
    </row>
    <row r="672" spans="49:77" x14ac:dyDescent="0.3">
      <c r="AW672" t="s">
        <v>8</v>
      </c>
      <c r="AX672" t="s">
        <v>15</v>
      </c>
      <c r="AY672" s="62">
        <v>38000</v>
      </c>
      <c r="AZ672">
        <v>10409</v>
      </c>
      <c r="BA672">
        <v>319.2</v>
      </c>
      <c r="BU672" t="s">
        <v>8</v>
      </c>
      <c r="BV672" t="s">
        <v>15</v>
      </c>
      <c r="BW672" s="62">
        <v>38000</v>
      </c>
      <c r="BX672">
        <v>10409</v>
      </c>
      <c r="BY672">
        <v>319.2</v>
      </c>
    </row>
    <row r="673" spans="49:77" x14ac:dyDescent="0.3">
      <c r="AW673" t="s">
        <v>8</v>
      </c>
      <c r="AX673" t="s">
        <v>287</v>
      </c>
      <c r="AY673" s="62">
        <v>38312</v>
      </c>
      <c r="AZ673">
        <v>10743</v>
      </c>
      <c r="BA673">
        <v>319.2</v>
      </c>
      <c r="BU673" t="s">
        <v>8</v>
      </c>
      <c r="BV673" t="s">
        <v>287</v>
      </c>
      <c r="BW673" s="62">
        <v>38312</v>
      </c>
      <c r="BX673">
        <v>10743</v>
      </c>
      <c r="BY673">
        <v>319.2</v>
      </c>
    </row>
    <row r="674" spans="49:77" x14ac:dyDescent="0.3">
      <c r="AW674" t="s">
        <v>8</v>
      </c>
      <c r="AX674" t="s">
        <v>14</v>
      </c>
      <c r="AY674" s="62">
        <v>38238</v>
      </c>
      <c r="AZ674">
        <v>10652</v>
      </c>
      <c r="BA674">
        <v>318.83999999999997</v>
      </c>
      <c r="BU674" t="s">
        <v>8</v>
      </c>
      <c r="BV674" t="s">
        <v>14</v>
      </c>
      <c r="BW674" s="62">
        <v>38238</v>
      </c>
      <c r="BX674">
        <v>10652</v>
      </c>
      <c r="BY674">
        <v>318.83999999999997</v>
      </c>
    </row>
    <row r="675" spans="49:77" x14ac:dyDescent="0.3">
      <c r="AW675" t="s">
        <v>8</v>
      </c>
      <c r="AX675" t="s">
        <v>287</v>
      </c>
      <c r="AY675" s="62">
        <v>38172</v>
      </c>
      <c r="AZ675">
        <v>10579</v>
      </c>
      <c r="BA675">
        <v>317.75</v>
      </c>
      <c r="BU675" t="s">
        <v>8</v>
      </c>
      <c r="BV675" t="s">
        <v>287</v>
      </c>
      <c r="BW675" s="62">
        <v>38172</v>
      </c>
      <c r="BX675">
        <v>10579</v>
      </c>
      <c r="BY675">
        <v>317.75</v>
      </c>
    </row>
    <row r="676" spans="49:77" x14ac:dyDescent="0.3">
      <c r="AW676" t="s">
        <v>7</v>
      </c>
      <c r="AX676" t="s">
        <v>13</v>
      </c>
      <c r="AY676" s="62">
        <v>38354</v>
      </c>
      <c r="AZ676">
        <v>10794</v>
      </c>
      <c r="BA676">
        <v>314.76</v>
      </c>
      <c r="BU676" t="s">
        <v>7</v>
      </c>
      <c r="BV676" t="s">
        <v>13</v>
      </c>
      <c r="BW676" s="62">
        <v>38354</v>
      </c>
      <c r="BX676">
        <v>10794</v>
      </c>
      <c r="BY676">
        <v>314.76</v>
      </c>
    </row>
    <row r="677" spans="49:77" x14ac:dyDescent="0.3">
      <c r="AW677" t="s">
        <v>8</v>
      </c>
      <c r="AX677" t="s">
        <v>15</v>
      </c>
      <c r="AY677" s="62">
        <v>38170</v>
      </c>
      <c r="AZ677">
        <v>10581</v>
      </c>
      <c r="BA677">
        <v>310</v>
      </c>
      <c r="BU677" t="s">
        <v>8</v>
      </c>
      <c r="BV677" t="s">
        <v>15</v>
      </c>
      <c r="BW677" s="62">
        <v>38170</v>
      </c>
      <c r="BX677">
        <v>10581</v>
      </c>
      <c r="BY677">
        <v>310</v>
      </c>
    </row>
    <row r="678" spans="49:77" x14ac:dyDescent="0.3">
      <c r="AW678" t="s">
        <v>7</v>
      </c>
      <c r="AX678" t="s">
        <v>17</v>
      </c>
      <c r="AY678" s="62">
        <v>38394</v>
      </c>
      <c r="AZ678">
        <v>10874</v>
      </c>
      <c r="BA678">
        <v>310</v>
      </c>
      <c r="BU678" t="s">
        <v>7</v>
      </c>
      <c r="BV678" t="s">
        <v>17</v>
      </c>
      <c r="BW678" s="62">
        <v>38394</v>
      </c>
      <c r="BX678">
        <v>10874</v>
      </c>
      <c r="BY678">
        <v>310</v>
      </c>
    </row>
    <row r="679" spans="49:77" x14ac:dyDescent="0.3">
      <c r="AW679" t="s">
        <v>8</v>
      </c>
      <c r="AX679" t="s">
        <v>289</v>
      </c>
      <c r="AY679" s="62">
        <v>38205</v>
      </c>
      <c r="AZ679">
        <v>10610</v>
      </c>
      <c r="BA679">
        <v>299.25</v>
      </c>
      <c r="BU679" t="s">
        <v>8</v>
      </c>
      <c r="BV679" t="s">
        <v>289</v>
      </c>
      <c r="BW679" s="62">
        <v>38205</v>
      </c>
      <c r="BX679">
        <v>10610</v>
      </c>
      <c r="BY679">
        <v>299.25</v>
      </c>
    </row>
    <row r="680" spans="49:77" x14ac:dyDescent="0.3">
      <c r="AW680" t="s">
        <v>8</v>
      </c>
      <c r="AX680" t="s">
        <v>15</v>
      </c>
      <c r="AY680" s="62">
        <v>38462</v>
      </c>
      <c r="AZ680">
        <v>11004</v>
      </c>
      <c r="BA680">
        <v>295.38</v>
      </c>
      <c r="BU680" t="s">
        <v>8</v>
      </c>
      <c r="BV680" t="s">
        <v>15</v>
      </c>
      <c r="BW680" s="62">
        <v>38462</v>
      </c>
      <c r="BX680">
        <v>11004</v>
      </c>
      <c r="BY680">
        <v>295.38</v>
      </c>
    </row>
    <row r="681" spans="49:77" x14ac:dyDescent="0.3">
      <c r="AW681" t="s">
        <v>8</v>
      </c>
      <c r="AX681" t="s">
        <v>287</v>
      </c>
      <c r="AY681" s="62">
        <v>37842</v>
      </c>
      <c r="AZ681">
        <v>10275</v>
      </c>
      <c r="BA681">
        <v>291.83999999999997</v>
      </c>
      <c r="BU681" t="s">
        <v>8</v>
      </c>
      <c r="BV681" t="s">
        <v>287</v>
      </c>
      <c r="BW681" s="62">
        <v>37842</v>
      </c>
      <c r="BX681">
        <v>10275</v>
      </c>
      <c r="BY681">
        <v>291.83999999999997</v>
      </c>
    </row>
    <row r="682" spans="49:77" x14ac:dyDescent="0.3">
      <c r="AW682" t="s">
        <v>7</v>
      </c>
      <c r="AX682" t="s">
        <v>13</v>
      </c>
      <c r="AY682" s="62">
        <v>38438</v>
      </c>
      <c r="AZ682">
        <v>10973</v>
      </c>
      <c r="BA682">
        <v>291.55</v>
      </c>
      <c r="BU682" t="s">
        <v>7</v>
      </c>
      <c r="BV682" t="s">
        <v>13</v>
      </c>
      <c r="BW682" s="62">
        <v>38438</v>
      </c>
      <c r="BX682">
        <v>10973</v>
      </c>
      <c r="BY682">
        <v>291.55</v>
      </c>
    </row>
    <row r="683" spans="49:77" x14ac:dyDescent="0.3">
      <c r="AW683" t="s">
        <v>7</v>
      </c>
      <c r="AX683" t="s">
        <v>13</v>
      </c>
      <c r="AY683" s="62">
        <v>37904</v>
      </c>
      <c r="AZ683">
        <v>10317</v>
      </c>
      <c r="BA683">
        <v>288</v>
      </c>
      <c r="BU683" t="s">
        <v>7</v>
      </c>
      <c r="BV683" t="s">
        <v>13</v>
      </c>
      <c r="BW683" s="62">
        <v>37904</v>
      </c>
      <c r="BX683">
        <v>10317</v>
      </c>
      <c r="BY683">
        <v>288</v>
      </c>
    </row>
    <row r="684" spans="49:77" x14ac:dyDescent="0.3">
      <c r="AW684" t="s">
        <v>8</v>
      </c>
      <c r="AX684" t="s">
        <v>14</v>
      </c>
      <c r="AY684" s="62">
        <v>38296</v>
      </c>
      <c r="AZ684">
        <v>10725</v>
      </c>
      <c r="BA684">
        <v>287.8</v>
      </c>
      <c r="BU684" t="s">
        <v>8</v>
      </c>
      <c r="BV684" t="s">
        <v>14</v>
      </c>
      <c r="BW684" s="62">
        <v>38296</v>
      </c>
      <c r="BX684">
        <v>10725</v>
      </c>
      <c r="BY684">
        <v>287.8</v>
      </c>
    </row>
    <row r="685" spans="49:77" x14ac:dyDescent="0.3">
      <c r="AW685" t="s">
        <v>7</v>
      </c>
      <c r="AX685" t="s">
        <v>288</v>
      </c>
      <c r="AY685" s="62">
        <v>37919</v>
      </c>
      <c r="AZ685">
        <v>10336</v>
      </c>
      <c r="BA685">
        <v>285.12</v>
      </c>
      <c r="BU685" t="s">
        <v>7</v>
      </c>
      <c r="BV685" t="s">
        <v>288</v>
      </c>
      <c r="BW685" s="62">
        <v>37919</v>
      </c>
      <c r="BX685">
        <v>10336</v>
      </c>
      <c r="BY685">
        <v>285.12</v>
      </c>
    </row>
    <row r="686" spans="49:77" x14ac:dyDescent="0.3">
      <c r="AW686" t="s">
        <v>8</v>
      </c>
      <c r="AX686" t="s">
        <v>14</v>
      </c>
      <c r="AY686" s="62">
        <v>38392</v>
      </c>
      <c r="AZ686">
        <v>10864</v>
      </c>
      <c r="BA686">
        <v>282</v>
      </c>
      <c r="BU686" t="s">
        <v>8</v>
      </c>
      <c r="BV686" t="s">
        <v>14</v>
      </c>
      <c r="BW686" s="62">
        <v>38392</v>
      </c>
      <c r="BX686">
        <v>10864</v>
      </c>
      <c r="BY686">
        <v>282</v>
      </c>
    </row>
    <row r="687" spans="49:77" x14ac:dyDescent="0.3">
      <c r="AW687" t="s">
        <v>8</v>
      </c>
      <c r="AX687" t="s">
        <v>15</v>
      </c>
      <c r="AY687" s="62">
        <v>38088</v>
      </c>
      <c r="AZ687">
        <v>10495</v>
      </c>
      <c r="BA687">
        <v>278</v>
      </c>
      <c r="BU687" t="s">
        <v>8</v>
      </c>
      <c r="BV687" t="s">
        <v>15</v>
      </c>
      <c r="BW687" s="62">
        <v>38088</v>
      </c>
      <c r="BX687">
        <v>10495</v>
      </c>
      <c r="BY687">
        <v>278</v>
      </c>
    </row>
    <row r="688" spans="49:77" x14ac:dyDescent="0.3">
      <c r="AW688" t="s">
        <v>7</v>
      </c>
      <c r="AX688" t="s">
        <v>13</v>
      </c>
      <c r="AY688" s="62">
        <v>38466</v>
      </c>
      <c r="AZ688">
        <v>11025</v>
      </c>
      <c r="BA688">
        <v>270</v>
      </c>
      <c r="BU688" t="s">
        <v>7</v>
      </c>
      <c r="BV688" t="s">
        <v>13</v>
      </c>
      <c r="BW688" s="62">
        <v>38466</v>
      </c>
      <c r="BX688">
        <v>11025</v>
      </c>
      <c r="BY688">
        <v>270</v>
      </c>
    </row>
    <row r="689" spans="49:77" x14ac:dyDescent="0.3">
      <c r="AW689" t="s">
        <v>8</v>
      </c>
      <c r="AX689" t="s">
        <v>287</v>
      </c>
      <c r="AY689" s="62">
        <v>37890</v>
      </c>
      <c r="AZ689">
        <v>10311</v>
      </c>
      <c r="BA689">
        <v>268.8</v>
      </c>
      <c r="BU689" t="s">
        <v>8</v>
      </c>
      <c r="BV689" t="s">
        <v>287</v>
      </c>
      <c r="BW689" s="62">
        <v>37890</v>
      </c>
      <c r="BX689">
        <v>10311</v>
      </c>
      <c r="BY689">
        <v>268.8</v>
      </c>
    </row>
    <row r="690" spans="49:77" x14ac:dyDescent="0.3">
      <c r="AW690" t="s">
        <v>8</v>
      </c>
      <c r="AX690" t="s">
        <v>15</v>
      </c>
      <c r="AY690" s="62">
        <v>38450</v>
      </c>
      <c r="AZ690">
        <v>10960</v>
      </c>
      <c r="BA690">
        <v>265.35000000000002</v>
      </c>
      <c r="BU690" t="s">
        <v>8</v>
      </c>
      <c r="BV690" t="s">
        <v>15</v>
      </c>
      <c r="BW690" s="62">
        <v>38450</v>
      </c>
      <c r="BX690">
        <v>10960</v>
      </c>
      <c r="BY690">
        <v>265.35000000000002</v>
      </c>
    </row>
    <row r="691" spans="49:77" x14ac:dyDescent="0.3">
      <c r="AW691" t="s">
        <v>8</v>
      </c>
      <c r="AX691" t="s">
        <v>289</v>
      </c>
      <c r="AY691" s="62">
        <v>38085</v>
      </c>
      <c r="AZ691">
        <v>10491</v>
      </c>
      <c r="BA691">
        <v>259.5</v>
      </c>
      <c r="BU691" t="s">
        <v>8</v>
      </c>
      <c r="BV691" t="s">
        <v>289</v>
      </c>
      <c r="BW691" s="62">
        <v>38085</v>
      </c>
      <c r="BX691">
        <v>10491</v>
      </c>
      <c r="BY691">
        <v>259.5</v>
      </c>
    </row>
    <row r="692" spans="49:77" x14ac:dyDescent="0.3">
      <c r="AW692" t="s">
        <v>8</v>
      </c>
      <c r="AX692" t="s">
        <v>18</v>
      </c>
      <c r="AY692" s="62">
        <v>38319</v>
      </c>
      <c r="AZ692">
        <v>10752</v>
      </c>
      <c r="BA692">
        <v>252</v>
      </c>
      <c r="BU692" t="s">
        <v>8</v>
      </c>
      <c r="BV692" t="s">
        <v>18</v>
      </c>
      <c r="BW692" s="62">
        <v>38319</v>
      </c>
      <c r="BX692">
        <v>10752</v>
      </c>
      <c r="BY692">
        <v>252</v>
      </c>
    </row>
    <row r="693" spans="49:77" x14ac:dyDescent="0.3">
      <c r="AW693" t="s">
        <v>8</v>
      </c>
      <c r="AX693" t="s">
        <v>14</v>
      </c>
      <c r="AY693" s="62">
        <v>38437</v>
      </c>
      <c r="AZ693">
        <v>10972</v>
      </c>
      <c r="BA693">
        <v>251.5</v>
      </c>
      <c r="BU693" t="s">
        <v>8</v>
      </c>
      <c r="BV693" t="s">
        <v>14</v>
      </c>
      <c r="BW693" s="62">
        <v>38437</v>
      </c>
      <c r="BX693">
        <v>10972</v>
      </c>
      <c r="BY693">
        <v>251.5</v>
      </c>
    </row>
    <row r="694" spans="49:77" x14ac:dyDescent="0.3">
      <c r="AW694" t="s">
        <v>8</v>
      </c>
      <c r="AX694" t="s">
        <v>289</v>
      </c>
      <c r="AY694" s="62">
        <v>38382</v>
      </c>
      <c r="AZ694">
        <v>10824</v>
      </c>
      <c r="BA694">
        <v>250.8</v>
      </c>
      <c r="BU694" t="s">
        <v>8</v>
      </c>
      <c r="BV694" t="s">
        <v>289</v>
      </c>
      <c r="BW694" s="62">
        <v>38382</v>
      </c>
      <c r="BX694">
        <v>10824</v>
      </c>
      <c r="BY694">
        <v>250.8</v>
      </c>
    </row>
    <row r="695" spans="49:77" x14ac:dyDescent="0.3">
      <c r="AW695" t="s">
        <v>8</v>
      </c>
      <c r="AX695" t="s">
        <v>14</v>
      </c>
      <c r="AY695" s="62">
        <v>38459</v>
      </c>
      <c r="AZ695">
        <v>10980</v>
      </c>
      <c r="BA695">
        <v>248</v>
      </c>
      <c r="BU695" t="s">
        <v>8</v>
      </c>
      <c r="BV695" t="s">
        <v>14</v>
      </c>
      <c r="BW695" s="62">
        <v>38459</v>
      </c>
      <c r="BX695">
        <v>10980</v>
      </c>
      <c r="BY695">
        <v>248</v>
      </c>
    </row>
    <row r="696" spans="49:77" x14ac:dyDescent="0.3">
      <c r="AW696" t="s">
        <v>7</v>
      </c>
      <c r="AX696" t="s">
        <v>13</v>
      </c>
      <c r="AY696" s="62">
        <v>38036</v>
      </c>
      <c r="AZ696">
        <v>10446</v>
      </c>
      <c r="BA696">
        <v>246.24</v>
      </c>
      <c r="BU696" t="s">
        <v>7</v>
      </c>
      <c r="BV696" t="s">
        <v>13</v>
      </c>
      <c r="BW696" s="62">
        <v>38036</v>
      </c>
      <c r="BX696">
        <v>10446</v>
      </c>
      <c r="BY696">
        <v>246.24</v>
      </c>
    </row>
    <row r="697" spans="49:77" x14ac:dyDescent="0.3">
      <c r="AW697" t="s">
        <v>8</v>
      </c>
      <c r="AX697" t="s">
        <v>14</v>
      </c>
      <c r="AY697" s="62">
        <v>38429</v>
      </c>
      <c r="AZ697">
        <v>10945</v>
      </c>
      <c r="BA697">
        <v>245</v>
      </c>
      <c r="BU697" t="s">
        <v>8</v>
      </c>
      <c r="BV697" t="s">
        <v>14</v>
      </c>
      <c r="BW697" s="62">
        <v>38429</v>
      </c>
      <c r="BX697">
        <v>10945</v>
      </c>
      <c r="BY697">
        <v>245</v>
      </c>
    </row>
    <row r="698" spans="49:77" x14ac:dyDescent="0.3">
      <c r="AW698" t="s">
        <v>8</v>
      </c>
      <c r="AX698" t="s">
        <v>18</v>
      </c>
      <c r="AY698" s="62">
        <v>38457</v>
      </c>
      <c r="AZ698">
        <v>11014</v>
      </c>
      <c r="BA698">
        <v>243.18</v>
      </c>
      <c r="BU698" t="s">
        <v>8</v>
      </c>
      <c r="BV698" t="s">
        <v>18</v>
      </c>
      <c r="BW698" s="62">
        <v>38457</v>
      </c>
      <c r="BX698">
        <v>11014</v>
      </c>
      <c r="BY698">
        <v>243.18</v>
      </c>
    </row>
    <row r="699" spans="49:77" x14ac:dyDescent="0.3">
      <c r="AW699" t="s">
        <v>8</v>
      </c>
      <c r="AX699" t="s">
        <v>289</v>
      </c>
      <c r="AY699" s="62">
        <v>37898</v>
      </c>
      <c r="AZ699">
        <v>10318</v>
      </c>
      <c r="BA699">
        <v>240.4</v>
      </c>
      <c r="BU699" t="s">
        <v>8</v>
      </c>
      <c r="BV699" t="s">
        <v>289</v>
      </c>
      <c r="BW699" s="62">
        <v>37898</v>
      </c>
      <c r="BX699">
        <v>10318</v>
      </c>
      <c r="BY699">
        <v>240.4</v>
      </c>
    </row>
    <row r="700" spans="49:77" x14ac:dyDescent="0.3">
      <c r="AW700" t="s">
        <v>8</v>
      </c>
      <c r="AX700" t="s">
        <v>15</v>
      </c>
      <c r="AY700" s="62">
        <v>38140</v>
      </c>
      <c r="AZ700">
        <v>10548</v>
      </c>
      <c r="BA700">
        <v>240.1</v>
      </c>
      <c r="BU700" t="s">
        <v>8</v>
      </c>
      <c r="BV700" t="s">
        <v>15</v>
      </c>
      <c r="BW700" s="62">
        <v>38140</v>
      </c>
      <c r="BX700">
        <v>10548</v>
      </c>
      <c r="BY700">
        <v>240.1</v>
      </c>
    </row>
    <row r="701" spans="49:77" x14ac:dyDescent="0.3">
      <c r="AW701" t="s">
        <v>8</v>
      </c>
      <c r="AX701" t="s">
        <v>287</v>
      </c>
      <c r="AY701" s="62">
        <v>38120</v>
      </c>
      <c r="AZ701">
        <v>10508</v>
      </c>
      <c r="BA701">
        <v>240</v>
      </c>
      <c r="BU701" t="s">
        <v>8</v>
      </c>
      <c r="BV701" t="s">
        <v>287</v>
      </c>
      <c r="BW701" s="62">
        <v>38120</v>
      </c>
      <c r="BX701">
        <v>10508</v>
      </c>
      <c r="BY701">
        <v>240</v>
      </c>
    </row>
    <row r="702" spans="49:77" x14ac:dyDescent="0.3">
      <c r="AW702" t="s">
        <v>8</v>
      </c>
      <c r="AX702" t="s">
        <v>15</v>
      </c>
      <c r="AY702" s="62">
        <v>38308</v>
      </c>
      <c r="AZ702">
        <v>10739</v>
      </c>
      <c r="BA702">
        <v>240</v>
      </c>
      <c r="BU702" t="s">
        <v>8</v>
      </c>
      <c r="BV702" t="s">
        <v>15</v>
      </c>
      <c r="BW702" s="62">
        <v>38308</v>
      </c>
      <c r="BX702">
        <v>10739</v>
      </c>
      <c r="BY702">
        <v>240</v>
      </c>
    </row>
    <row r="703" spans="49:77" x14ac:dyDescent="0.3">
      <c r="AW703" t="s">
        <v>7</v>
      </c>
      <c r="AX703" t="s">
        <v>13</v>
      </c>
      <c r="AY703" s="62">
        <v>38368</v>
      </c>
      <c r="AZ703">
        <v>10822</v>
      </c>
      <c r="BA703">
        <v>237.9</v>
      </c>
      <c r="BU703" t="s">
        <v>7</v>
      </c>
      <c r="BV703" t="s">
        <v>13</v>
      </c>
      <c r="BW703" s="62">
        <v>38368</v>
      </c>
      <c r="BX703">
        <v>10822</v>
      </c>
      <c r="BY703">
        <v>237.9</v>
      </c>
    </row>
    <row r="704" spans="49:77" x14ac:dyDescent="0.3">
      <c r="AW704" t="s">
        <v>8</v>
      </c>
      <c r="AX704" t="s">
        <v>289</v>
      </c>
      <c r="AY704" s="62">
        <v>38338</v>
      </c>
      <c r="AZ704">
        <v>10770</v>
      </c>
      <c r="BA704">
        <v>236.25</v>
      </c>
      <c r="BU704" t="s">
        <v>8</v>
      </c>
      <c r="BV704" t="s">
        <v>289</v>
      </c>
      <c r="BW704" s="62">
        <v>38338</v>
      </c>
      <c r="BX704">
        <v>10770</v>
      </c>
      <c r="BY704">
        <v>236.25</v>
      </c>
    </row>
    <row r="705" spans="49:77" x14ac:dyDescent="0.3">
      <c r="AW705" t="s">
        <v>8</v>
      </c>
      <c r="AX705" t="s">
        <v>289</v>
      </c>
      <c r="AY705" s="62">
        <v>38057</v>
      </c>
      <c r="AZ705">
        <v>10467</v>
      </c>
      <c r="BA705">
        <v>235.2</v>
      </c>
      <c r="BU705" t="s">
        <v>8</v>
      </c>
      <c r="BV705" t="s">
        <v>289</v>
      </c>
      <c r="BW705" s="62">
        <v>38057</v>
      </c>
      <c r="BX705">
        <v>10467</v>
      </c>
      <c r="BY705">
        <v>235.2</v>
      </c>
    </row>
    <row r="706" spans="49:77" x14ac:dyDescent="0.3">
      <c r="AW706" t="s">
        <v>8</v>
      </c>
      <c r="AX706" t="s">
        <v>287</v>
      </c>
      <c r="AY706" s="62">
        <v>38197</v>
      </c>
      <c r="AZ706">
        <v>10604</v>
      </c>
      <c r="BA706">
        <v>230.85</v>
      </c>
      <c r="BU706" t="s">
        <v>8</v>
      </c>
      <c r="BV706" t="s">
        <v>287</v>
      </c>
      <c r="BW706" s="62">
        <v>38197</v>
      </c>
      <c r="BX706">
        <v>10604</v>
      </c>
      <c r="BY706">
        <v>230.85</v>
      </c>
    </row>
    <row r="707" spans="49:77" x14ac:dyDescent="0.3">
      <c r="AW707" t="s">
        <v>8</v>
      </c>
      <c r="AX707" t="s">
        <v>287</v>
      </c>
      <c r="AY707" s="62">
        <v>38067</v>
      </c>
      <c r="AZ707">
        <v>10473</v>
      </c>
      <c r="BA707">
        <v>230.4</v>
      </c>
      <c r="BU707" t="s">
        <v>8</v>
      </c>
      <c r="BV707" t="s">
        <v>287</v>
      </c>
      <c r="BW707" s="62">
        <v>38067</v>
      </c>
      <c r="BX707">
        <v>10473</v>
      </c>
      <c r="BY707">
        <v>230.4</v>
      </c>
    </row>
    <row r="708" spans="49:77" x14ac:dyDescent="0.3">
      <c r="AW708" t="s">
        <v>8</v>
      </c>
      <c r="AX708" t="s">
        <v>14</v>
      </c>
      <c r="AY708" s="62">
        <v>38309</v>
      </c>
      <c r="AZ708">
        <v>10741</v>
      </c>
      <c r="BA708">
        <v>228</v>
      </c>
      <c r="BU708" t="s">
        <v>8</v>
      </c>
      <c r="BV708" t="s">
        <v>14</v>
      </c>
      <c r="BW708" s="62">
        <v>38309</v>
      </c>
      <c r="BX708">
        <v>10741</v>
      </c>
      <c r="BY708">
        <v>228</v>
      </c>
    </row>
    <row r="709" spans="49:77" x14ac:dyDescent="0.3">
      <c r="AW709" t="s">
        <v>7</v>
      </c>
      <c r="AX709" t="s">
        <v>288</v>
      </c>
      <c r="AY709" s="62">
        <v>38347</v>
      </c>
      <c r="AZ709">
        <v>10775</v>
      </c>
      <c r="BA709">
        <v>228</v>
      </c>
      <c r="BU709" t="s">
        <v>7</v>
      </c>
      <c r="BV709" t="s">
        <v>288</v>
      </c>
      <c r="BW709" s="62">
        <v>38347</v>
      </c>
      <c r="BX709">
        <v>10775</v>
      </c>
      <c r="BY709">
        <v>228</v>
      </c>
    </row>
    <row r="710" spans="49:77" x14ac:dyDescent="0.3">
      <c r="AW710" t="s">
        <v>8</v>
      </c>
      <c r="AX710" t="s">
        <v>289</v>
      </c>
      <c r="AY710" s="62">
        <v>38109</v>
      </c>
      <c r="AZ710">
        <v>10521</v>
      </c>
      <c r="BA710">
        <v>225.5</v>
      </c>
      <c r="BU710" t="s">
        <v>8</v>
      </c>
      <c r="BV710" t="s">
        <v>289</v>
      </c>
      <c r="BW710" s="62">
        <v>38109</v>
      </c>
      <c r="BX710">
        <v>10521</v>
      </c>
      <c r="BY710">
        <v>225.5</v>
      </c>
    </row>
    <row r="711" spans="49:77" x14ac:dyDescent="0.3">
      <c r="AW711" t="s">
        <v>8</v>
      </c>
      <c r="AX711" t="s">
        <v>18</v>
      </c>
      <c r="AY711" s="62">
        <v>38003</v>
      </c>
      <c r="AZ711">
        <v>10414</v>
      </c>
      <c r="BA711">
        <v>224.83</v>
      </c>
      <c r="BU711" t="s">
        <v>8</v>
      </c>
      <c r="BV711" t="s">
        <v>18</v>
      </c>
      <c r="BW711" s="62">
        <v>38003</v>
      </c>
      <c r="BX711">
        <v>10414</v>
      </c>
      <c r="BY711">
        <v>224.83</v>
      </c>
    </row>
    <row r="712" spans="49:77" x14ac:dyDescent="0.3">
      <c r="AW712" t="s">
        <v>7</v>
      </c>
      <c r="AX712" t="s">
        <v>288</v>
      </c>
      <c r="AY712" s="62">
        <v>38373</v>
      </c>
      <c r="AZ712">
        <v>10777</v>
      </c>
      <c r="BA712">
        <v>224</v>
      </c>
      <c r="BU712" t="s">
        <v>7</v>
      </c>
      <c r="BV712" t="s">
        <v>288</v>
      </c>
      <c r="BW712" s="62">
        <v>38373</v>
      </c>
      <c r="BX712">
        <v>10777</v>
      </c>
      <c r="BY712">
        <v>224</v>
      </c>
    </row>
    <row r="713" spans="49:77" x14ac:dyDescent="0.3">
      <c r="AW713" t="s">
        <v>7</v>
      </c>
      <c r="AX713" t="s">
        <v>16</v>
      </c>
      <c r="AY713" s="62">
        <v>38466</v>
      </c>
      <c r="AZ713">
        <v>10970</v>
      </c>
      <c r="BA713">
        <v>224</v>
      </c>
      <c r="BU713" t="s">
        <v>7</v>
      </c>
      <c r="BV713" t="s">
        <v>16</v>
      </c>
      <c r="BW713" s="62">
        <v>38466</v>
      </c>
      <c r="BX713">
        <v>10970</v>
      </c>
      <c r="BY713">
        <v>224</v>
      </c>
    </row>
    <row r="714" spans="49:77" x14ac:dyDescent="0.3">
      <c r="AW714" t="s">
        <v>8</v>
      </c>
      <c r="AX714" t="s">
        <v>15</v>
      </c>
      <c r="AY714" s="62">
        <v>38427</v>
      </c>
      <c r="AZ714">
        <v>10947</v>
      </c>
      <c r="BA714">
        <v>220</v>
      </c>
      <c r="BU714" t="s">
        <v>8</v>
      </c>
      <c r="BV714" t="s">
        <v>15</v>
      </c>
      <c r="BW714" s="62">
        <v>38427</v>
      </c>
      <c r="BX714">
        <v>10947</v>
      </c>
      <c r="BY714">
        <v>220</v>
      </c>
    </row>
    <row r="715" spans="49:77" x14ac:dyDescent="0.3">
      <c r="AW715" t="s">
        <v>8</v>
      </c>
      <c r="AX715" t="s">
        <v>14</v>
      </c>
      <c r="AY715" s="62">
        <v>38059</v>
      </c>
      <c r="AZ715">
        <v>10466</v>
      </c>
      <c r="BA715">
        <v>216</v>
      </c>
      <c r="BU715" t="s">
        <v>8</v>
      </c>
      <c r="BV715" t="s">
        <v>14</v>
      </c>
      <c r="BW715" s="62">
        <v>38059</v>
      </c>
      <c r="BX715">
        <v>10466</v>
      </c>
      <c r="BY715">
        <v>216</v>
      </c>
    </row>
    <row r="716" spans="49:77" x14ac:dyDescent="0.3">
      <c r="AW716" t="s">
        <v>8</v>
      </c>
      <c r="AX716" t="s">
        <v>14</v>
      </c>
      <c r="AY716" s="62">
        <v>38399</v>
      </c>
      <c r="AZ716">
        <v>10840</v>
      </c>
      <c r="BA716">
        <v>211.2</v>
      </c>
      <c r="BU716" t="s">
        <v>8</v>
      </c>
      <c r="BV716" t="s">
        <v>14</v>
      </c>
      <c r="BW716" s="62">
        <v>38399</v>
      </c>
      <c r="BX716">
        <v>10840</v>
      </c>
      <c r="BY716">
        <v>211.2</v>
      </c>
    </row>
    <row r="717" spans="49:77" x14ac:dyDescent="0.3">
      <c r="AW717" t="s">
        <v>8</v>
      </c>
      <c r="AX717" t="s">
        <v>289</v>
      </c>
      <c r="AY717" s="62">
        <v>38164</v>
      </c>
      <c r="AZ717">
        <v>10545</v>
      </c>
      <c r="BA717">
        <v>210</v>
      </c>
      <c r="BU717" t="s">
        <v>8</v>
      </c>
      <c r="BV717" t="s">
        <v>289</v>
      </c>
      <c r="BW717" s="62">
        <v>38164</v>
      </c>
      <c r="BX717">
        <v>10545</v>
      </c>
      <c r="BY717">
        <v>210</v>
      </c>
    </row>
    <row r="718" spans="49:77" x14ac:dyDescent="0.3">
      <c r="AW718" t="s">
        <v>7</v>
      </c>
      <c r="AX718" t="s">
        <v>17</v>
      </c>
      <c r="AY718" s="62">
        <v>38471</v>
      </c>
      <c r="AZ718">
        <v>11043</v>
      </c>
      <c r="BA718">
        <v>210</v>
      </c>
      <c r="BU718" t="s">
        <v>7</v>
      </c>
      <c r="BV718" t="s">
        <v>17</v>
      </c>
      <c r="BW718" s="62">
        <v>38471</v>
      </c>
      <c r="BX718">
        <v>11043</v>
      </c>
      <c r="BY718">
        <v>210</v>
      </c>
    </row>
    <row r="719" spans="49:77" x14ac:dyDescent="0.3">
      <c r="AW719" t="s">
        <v>7</v>
      </c>
      <c r="AX719" t="s">
        <v>288</v>
      </c>
      <c r="AY719" s="62">
        <v>38108</v>
      </c>
      <c r="AZ719">
        <v>10520</v>
      </c>
      <c r="BA719">
        <v>200</v>
      </c>
      <c r="BU719" t="s">
        <v>7</v>
      </c>
      <c r="BV719" t="s">
        <v>288</v>
      </c>
      <c r="BW719" s="62">
        <v>38108</v>
      </c>
      <c r="BX719">
        <v>10520</v>
      </c>
      <c r="BY719">
        <v>200</v>
      </c>
    </row>
    <row r="720" spans="49:77" x14ac:dyDescent="0.3">
      <c r="AW720" t="s">
        <v>7</v>
      </c>
      <c r="AX720" t="s">
        <v>288</v>
      </c>
      <c r="AY720" s="62">
        <v>38021</v>
      </c>
      <c r="AZ720">
        <v>10428</v>
      </c>
      <c r="BA720">
        <v>192</v>
      </c>
      <c r="BU720" t="s">
        <v>7</v>
      </c>
      <c r="BV720" t="s">
        <v>288</v>
      </c>
      <c r="BW720" s="62">
        <v>38021</v>
      </c>
      <c r="BX720">
        <v>10428</v>
      </c>
      <c r="BY720">
        <v>192</v>
      </c>
    </row>
    <row r="721" spans="49:77" x14ac:dyDescent="0.3">
      <c r="AW721" t="s">
        <v>8</v>
      </c>
      <c r="AX721" t="s">
        <v>15</v>
      </c>
      <c r="AY721" s="62">
        <v>38360</v>
      </c>
      <c r="AZ721">
        <v>10793</v>
      </c>
      <c r="BA721">
        <v>191.1</v>
      </c>
      <c r="BU721" t="s">
        <v>8</v>
      </c>
      <c r="BV721" t="s">
        <v>15</v>
      </c>
      <c r="BW721" s="62">
        <v>38360</v>
      </c>
      <c r="BX721">
        <v>10793</v>
      </c>
      <c r="BY721">
        <v>191.1</v>
      </c>
    </row>
    <row r="722" spans="49:77" x14ac:dyDescent="0.3">
      <c r="AW722" t="s">
        <v>7</v>
      </c>
      <c r="AX722" t="s">
        <v>288</v>
      </c>
      <c r="AY722" s="62">
        <v>38084</v>
      </c>
      <c r="AZ722">
        <v>10496</v>
      </c>
      <c r="BA722">
        <v>190</v>
      </c>
      <c r="BU722" t="s">
        <v>7</v>
      </c>
      <c r="BV722" t="s">
        <v>288</v>
      </c>
      <c r="BW722" s="62">
        <v>38084</v>
      </c>
      <c r="BX722">
        <v>10496</v>
      </c>
      <c r="BY722">
        <v>190</v>
      </c>
    </row>
    <row r="723" spans="49:77" x14ac:dyDescent="0.3">
      <c r="AW723" t="s">
        <v>8</v>
      </c>
      <c r="AX723" t="s">
        <v>18</v>
      </c>
      <c r="AY723" s="62">
        <v>38359</v>
      </c>
      <c r="AZ723">
        <v>10810</v>
      </c>
      <c r="BA723">
        <v>187</v>
      </c>
      <c r="BU723" t="s">
        <v>8</v>
      </c>
      <c r="BV723" t="s">
        <v>18</v>
      </c>
      <c r="BW723" s="62">
        <v>38359</v>
      </c>
      <c r="BX723">
        <v>10810</v>
      </c>
      <c r="BY723">
        <v>187</v>
      </c>
    </row>
    <row r="724" spans="49:77" x14ac:dyDescent="0.3">
      <c r="AW724" t="s">
        <v>8</v>
      </c>
      <c r="AX724" t="s">
        <v>18</v>
      </c>
      <c r="AY724" s="62">
        <v>37898</v>
      </c>
      <c r="AZ724">
        <v>10313</v>
      </c>
      <c r="BA724">
        <v>182.4</v>
      </c>
      <c r="BU724" t="s">
        <v>8</v>
      </c>
      <c r="BV724" t="s">
        <v>18</v>
      </c>
      <c r="BW724" s="62">
        <v>37898</v>
      </c>
      <c r="BX724">
        <v>10313</v>
      </c>
      <c r="BY724">
        <v>182.4</v>
      </c>
    </row>
    <row r="725" spans="49:77" x14ac:dyDescent="0.3">
      <c r="AW725" t="s">
        <v>8</v>
      </c>
      <c r="AX725" t="s">
        <v>289</v>
      </c>
      <c r="AY725" s="62">
        <v>38070</v>
      </c>
      <c r="AZ725">
        <v>10476</v>
      </c>
      <c r="BA725">
        <v>180.48</v>
      </c>
      <c r="BU725" t="s">
        <v>8</v>
      </c>
      <c r="BV725" t="s">
        <v>289</v>
      </c>
      <c r="BW725" s="62">
        <v>38070</v>
      </c>
      <c r="BX725">
        <v>10476</v>
      </c>
      <c r="BY725">
        <v>180.48</v>
      </c>
    </row>
    <row r="726" spans="49:77" x14ac:dyDescent="0.3">
      <c r="AW726" t="s">
        <v>7</v>
      </c>
      <c r="AX726" t="s">
        <v>13</v>
      </c>
      <c r="AY726" s="62">
        <v>38296</v>
      </c>
      <c r="AZ726">
        <v>10708</v>
      </c>
      <c r="BA726">
        <v>180.4</v>
      </c>
      <c r="BU726" t="s">
        <v>7</v>
      </c>
      <c r="BV726" t="s">
        <v>13</v>
      </c>
      <c r="BW726" s="62">
        <v>38296</v>
      </c>
      <c r="BX726">
        <v>10708</v>
      </c>
      <c r="BY726">
        <v>180.4</v>
      </c>
    </row>
    <row r="727" spans="49:77" x14ac:dyDescent="0.3">
      <c r="AW727" t="s">
        <v>8</v>
      </c>
      <c r="AX727" t="s">
        <v>289</v>
      </c>
      <c r="AY727" s="62">
        <v>38049</v>
      </c>
      <c r="AZ727">
        <v>10460</v>
      </c>
      <c r="BA727">
        <v>176.1</v>
      </c>
      <c r="BU727" t="s">
        <v>8</v>
      </c>
      <c r="BV727" t="s">
        <v>289</v>
      </c>
      <c r="BW727" s="62">
        <v>38049</v>
      </c>
      <c r="BX727">
        <v>10460</v>
      </c>
      <c r="BY727">
        <v>176.1</v>
      </c>
    </row>
    <row r="728" spans="49:77" x14ac:dyDescent="0.3">
      <c r="AW728" t="s">
        <v>8</v>
      </c>
      <c r="AX728" t="s">
        <v>15</v>
      </c>
      <c r="AY728" s="62">
        <v>38037</v>
      </c>
      <c r="AZ728">
        <v>10445</v>
      </c>
      <c r="BA728">
        <v>174.9</v>
      </c>
      <c r="BU728" t="s">
        <v>8</v>
      </c>
      <c r="BV728" t="s">
        <v>15</v>
      </c>
      <c r="BW728" s="62">
        <v>38037</v>
      </c>
      <c r="BX728">
        <v>10445</v>
      </c>
      <c r="BY728">
        <v>174.9</v>
      </c>
    </row>
    <row r="729" spans="49:77" x14ac:dyDescent="0.3">
      <c r="AW729" t="s">
        <v>7</v>
      </c>
      <c r="AX729" t="s">
        <v>16</v>
      </c>
      <c r="AY729" s="62">
        <v>37980</v>
      </c>
      <c r="AZ729">
        <v>10386</v>
      </c>
      <c r="BA729">
        <v>166</v>
      </c>
      <c r="BU729" t="s">
        <v>7</v>
      </c>
      <c r="BV729" t="s">
        <v>16</v>
      </c>
      <c r="BW729" s="62">
        <v>37980</v>
      </c>
      <c r="BX729">
        <v>10386</v>
      </c>
      <c r="BY729">
        <v>166</v>
      </c>
    </row>
    <row r="730" spans="49:77" x14ac:dyDescent="0.3">
      <c r="AW730" t="s">
        <v>8</v>
      </c>
      <c r="AX730" t="s">
        <v>14</v>
      </c>
      <c r="AY730" s="62">
        <v>37908</v>
      </c>
      <c r="AZ730">
        <v>10323</v>
      </c>
      <c r="BA730">
        <v>164.4</v>
      </c>
      <c r="BU730" t="s">
        <v>8</v>
      </c>
      <c r="BV730" t="s">
        <v>14</v>
      </c>
      <c r="BW730" s="62">
        <v>37908</v>
      </c>
      <c r="BX730">
        <v>10323</v>
      </c>
      <c r="BY730">
        <v>164.4</v>
      </c>
    </row>
    <row r="731" spans="49:77" x14ac:dyDescent="0.3">
      <c r="AW731" t="s">
        <v>7</v>
      </c>
      <c r="AX731" t="s">
        <v>17</v>
      </c>
      <c r="AY731" s="62">
        <v>38396</v>
      </c>
      <c r="AZ731">
        <v>10870</v>
      </c>
      <c r="BA731">
        <v>160</v>
      </c>
      <c r="BU731" t="s">
        <v>7</v>
      </c>
      <c r="BV731" t="s">
        <v>17</v>
      </c>
      <c r="BW731" s="62">
        <v>38396</v>
      </c>
      <c r="BX731">
        <v>10870</v>
      </c>
      <c r="BY731">
        <v>160</v>
      </c>
    </row>
    <row r="732" spans="49:77" x14ac:dyDescent="0.3">
      <c r="AW732" t="s">
        <v>8</v>
      </c>
      <c r="AX732" t="s">
        <v>14</v>
      </c>
      <c r="AY732" s="62">
        <v>38378</v>
      </c>
      <c r="AZ732">
        <v>10843</v>
      </c>
      <c r="BA732">
        <v>159</v>
      </c>
      <c r="BU732" t="s">
        <v>8</v>
      </c>
      <c r="BV732" t="s">
        <v>14</v>
      </c>
      <c r="BW732" s="62">
        <v>38378</v>
      </c>
      <c r="BX732">
        <v>10843</v>
      </c>
      <c r="BY732">
        <v>159</v>
      </c>
    </row>
    <row r="733" spans="49:77" x14ac:dyDescent="0.3">
      <c r="AW733" t="s">
        <v>8</v>
      </c>
      <c r="AX733" t="s">
        <v>18</v>
      </c>
      <c r="AY733" s="62">
        <v>38064</v>
      </c>
      <c r="AZ733">
        <v>10462</v>
      </c>
      <c r="BA733">
        <v>156</v>
      </c>
      <c r="BU733" t="s">
        <v>8</v>
      </c>
      <c r="BV733" t="s">
        <v>18</v>
      </c>
      <c r="BW733" s="62">
        <v>38064</v>
      </c>
      <c r="BX733">
        <v>10462</v>
      </c>
      <c r="BY733">
        <v>156</v>
      </c>
    </row>
    <row r="734" spans="49:77" x14ac:dyDescent="0.3">
      <c r="AW734" t="s">
        <v>8</v>
      </c>
      <c r="AX734" t="s">
        <v>14</v>
      </c>
      <c r="AY734" s="62">
        <v>37854</v>
      </c>
      <c r="AZ734">
        <v>10282</v>
      </c>
      <c r="BA734">
        <v>155.4</v>
      </c>
      <c r="BU734" t="s">
        <v>8</v>
      </c>
      <c r="BV734" t="s">
        <v>14</v>
      </c>
      <c r="BW734" s="62">
        <v>37854</v>
      </c>
      <c r="BX734">
        <v>10282</v>
      </c>
      <c r="BY734">
        <v>155.4</v>
      </c>
    </row>
    <row r="735" spans="49:77" x14ac:dyDescent="0.3">
      <c r="AW735" t="s">
        <v>8</v>
      </c>
      <c r="AX735" t="s">
        <v>15</v>
      </c>
      <c r="AY735" s="62">
        <v>38177</v>
      </c>
      <c r="AZ735">
        <v>10568</v>
      </c>
      <c r="BA735">
        <v>155</v>
      </c>
      <c r="BU735" t="s">
        <v>8</v>
      </c>
      <c r="BV735" t="s">
        <v>15</v>
      </c>
      <c r="BW735" s="62">
        <v>38177</v>
      </c>
      <c r="BX735">
        <v>10568</v>
      </c>
      <c r="BY735">
        <v>155</v>
      </c>
    </row>
    <row r="736" spans="49:77" x14ac:dyDescent="0.3">
      <c r="AW736" t="s">
        <v>8</v>
      </c>
      <c r="AX736" t="s">
        <v>287</v>
      </c>
      <c r="AY736" s="62">
        <v>38241</v>
      </c>
      <c r="AZ736">
        <v>10655</v>
      </c>
      <c r="BA736">
        <v>154.4</v>
      </c>
      <c r="BU736" t="s">
        <v>8</v>
      </c>
      <c r="BV736" t="s">
        <v>287</v>
      </c>
      <c r="BW736" s="62">
        <v>38241</v>
      </c>
      <c r="BX736">
        <v>10655</v>
      </c>
      <c r="BY736">
        <v>154.4</v>
      </c>
    </row>
    <row r="737" spans="49:77" x14ac:dyDescent="0.3">
      <c r="AW737" t="s">
        <v>8</v>
      </c>
      <c r="AX737" t="s">
        <v>14</v>
      </c>
      <c r="AY737" s="62">
        <v>38401</v>
      </c>
      <c r="AZ737">
        <v>10881</v>
      </c>
      <c r="BA737">
        <v>150</v>
      </c>
      <c r="BU737" t="s">
        <v>8</v>
      </c>
      <c r="BV737" t="s">
        <v>14</v>
      </c>
      <c r="BW737" s="62">
        <v>38401</v>
      </c>
      <c r="BX737">
        <v>10881</v>
      </c>
      <c r="BY737">
        <v>150</v>
      </c>
    </row>
    <row r="738" spans="49:77" x14ac:dyDescent="0.3">
      <c r="AW738" t="s">
        <v>7</v>
      </c>
      <c r="AX738" t="s">
        <v>16</v>
      </c>
      <c r="AY738" s="62">
        <v>38093</v>
      </c>
      <c r="AZ738">
        <v>10501</v>
      </c>
      <c r="BA738">
        <v>149</v>
      </c>
      <c r="BU738" t="s">
        <v>7</v>
      </c>
      <c r="BV738" t="s">
        <v>16</v>
      </c>
      <c r="BW738" s="62">
        <v>38093</v>
      </c>
      <c r="BX738">
        <v>10501</v>
      </c>
      <c r="BY738">
        <v>149</v>
      </c>
    </row>
    <row r="739" spans="49:77" x14ac:dyDescent="0.3">
      <c r="AW739" t="s">
        <v>8</v>
      </c>
      <c r="AX739" t="s">
        <v>15</v>
      </c>
      <c r="AY739" s="62">
        <v>38098</v>
      </c>
      <c r="AZ739">
        <v>10505</v>
      </c>
      <c r="BA739">
        <v>147.9</v>
      </c>
      <c r="BU739" t="s">
        <v>8</v>
      </c>
      <c r="BV739" t="s">
        <v>15</v>
      </c>
      <c r="BW739" s="62">
        <v>38098</v>
      </c>
      <c r="BX739">
        <v>10505</v>
      </c>
      <c r="BY739">
        <v>147.9</v>
      </c>
    </row>
    <row r="740" spans="49:77" x14ac:dyDescent="0.3">
      <c r="AW740" t="s">
        <v>8</v>
      </c>
      <c r="AX740" t="s">
        <v>287</v>
      </c>
      <c r="AY740" s="62">
        <v>38087</v>
      </c>
      <c r="AZ740">
        <v>10482</v>
      </c>
      <c r="BA740">
        <v>147</v>
      </c>
      <c r="BU740" t="s">
        <v>8</v>
      </c>
      <c r="BV740" t="s">
        <v>287</v>
      </c>
      <c r="BW740" s="62">
        <v>38087</v>
      </c>
      <c r="BX740">
        <v>10482</v>
      </c>
      <c r="BY740">
        <v>147</v>
      </c>
    </row>
    <row r="741" spans="49:77" x14ac:dyDescent="0.3">
      <c r="AW741" t="s">
        <v>8</v>
      </c>
      <c r="AX741" t="s">
        <v>289</v>
      </c>
      <c r="AY741" s="62">
        <v>37922</v>
      </c>
      <c r="AZ741">
        <v>10334</v>
      </c>
      <c r="BA741">
        <v>144.80000000000001</v>
      </c>
      <c r="BU741" t="s">
        <v>8</v>
      </c>
      <c r="BV741" t="s">
        <v>289</v>
      </c>
      <c r="BW741" s="62">
        <v>37922</v>
      </c>
      <c r="BX741">
        <v>10334</v>
      </c>
      <c r="BY741">
        <v>144.80000000000001</v>
      </c>
    </row>
    <row r="742" spans="49:77" x14ac:dyDescent="0.3">
      <c r="AW742" t="s">
        <v>8</v>
      </c>
      <c r="AX742" t="s">
        <v>15</v>
      </c>
      <c r="AY742" s="62">
        <v>37905</v>
      </c>
      <c r="AZ742">
        <v>10321</v>
      </c>
      <c r="BA742">
        <v>144</v>
      </c>
      <c r="BU742" t="s">
        <v>8</v>
      </c>
      <c r="BV742" t="s">
        <v>15</v>
      </c>
      <c r="BW742" s="62">
        <v>37905</v>
      </c>
      <c r="BX742">
        <v>10321</v>
      </c>
      <c r="BY742">
        <v>144</v>
      </c>
    </row>
    <row r="743" spans="49:77" x14ac:dyDescent="0.3">
      <c r="AW743" t="s">
        <v>7</v>
      </c>
      <c r="AX743" t="s">
        <v>288</v>
      </c>
      <c r="AY743" s="62">
        <v>38178</v>
      </c>
      <c r="AZ743">
        <v>10585</v>
      </c>
      <c r="BA743">
        <v>142.5</v>
      </c>
      <c r="BU743" t="s">
        <v>7</v>
      </c>
      <c r="BV743" t="s">
        <v>288</v>
      </c>
      <c r="BW743" s="62">
        <v>38178</v>
      </c>
      <c r="BX743">
        <v>10585</v>
      </c>
      <c r="BY743">
        <v>142.5</v>
      </c>
    </row>
    <row r="744" spans="49:77" x14ac:dyDescent="0.3">
      <c r="AW744" t="s">
        <v>7</v>
      </c>
      <c r="AX744" t="s">
        <v>288</v>
      </c>
      <c r="AY744" s="62">
        <v>37940</v>
      </c>
      <c r="AZ744">
        <v>10349</v>
      </c>
      <c r="BA744">
        <v>141.6</v>
      </c>
      <c r="BU744" t="s">
        <v>7</v>
      </c>
      <c r="BV744" t="s">
        <v>288</v>
      </c>
      <c r="BW744" s="62">
        <v>37940</v>
      </c>
      <c r="BX744">
        <v>10349</v>
      </c>
      <c r="BY744">
        <v>141.6</v>
      </c>
    </row>
    <row r="745" spans="49:77" x14ac:dyDescent="0.3">
      <c r="AW745" t="s">
        <v>7</v>
      </c>
      <c r="AX745" t="s">
        <v>288</v>
      </c>
      <c r="AY745" s="62">
        <v>38359</v>
      </c>
      <c r="AZ745">
        <v>10809</v>
      </c>
      <c r="BA745">
        <v>140</v>
      </c>
      <c r="BU745" t="s">
        <v>7</v>
      </c>
      <c r="BV745" t="s">
        <v>288</v>
      </c>
      <c r="BW745" s="62">
        <v>38359</v>
      </c>
      <c r="BX745">
        <v>10809</v>
      </c>
      <c r="BY745">
        <v>140</v>
      </c>
    </row>
    <row r="746" spans="49:77" x14ac:dyDescent="0.3">
      <c r="AW746" t="s">
        <v>8</v>
      </c>
      <c r="AX746" t="s">
        <v>18</v>
      </c>
      <c r="AY746" s="62">
        <v>38309</v>
      </c>
      <c r="AZ746">
        <v>10737</v>
      </c>
      <c r="BA746">
        <v>139.80000000000001</v>
      </c>
      <c r="BU746" t="s">
        <v>8</v>
      </c>
      <c r="BV746" t="s">
        <v>18</v>
      </c>
      <c r="BW746" s="62">
        <v>38309</v>
      </c>
      <c r="BX746">
        <v>10737</v>
      </c>
      <c r="BY746">
        <v>139.80000000000001</v>
      </c>
    </row>
    <row r="747" spans="49:77" x14ac:dyDescent="0.3">
      <c r="AW747" t="s">
        <v>7</v>
      </c>
      <c r="AX747" t="s">
        <v>16</v>
      </c>
      <c r="AY747" s="62">
        <v>38123</v>
      </c>
      <c r="AZ747">
        <v>10538</v>
      </c>
      <c r="BA747">
        <v>139.80000000000001</v>
      </c>
      <c r="BU747" t="s">
        <v>7</v>
      </c>
      <c r="BV747" t="s">
        <v>16</v>
      </c>
      <c r="BW747" s="62">
        <v>38123</v>
      </c>
      <c r="BX747">
        <v>10538</v>
      </c>
      <c r="BY747">
        <v>139.80000000000001</v>
      </c>
    </row>
    <row r="748" spans="49:77" x14ac:dyDescent="0.3">
      <c r="AW748" t="s">
        <v>8</v>
      </c>
      <c r="AX748" t="s">
        <v>287</v>
      </c>
      <c r="AY748" s="62">
        <v>38429</v>
      </c>
      <c r="AZ748">
        <v>10928</v>
      </c>
      <c r="BA748">
        <v>137.5</v>
      </c>
      <c r="BU748" t="s">
        <v>8</v>
      </c>
      <c r="BV748" t="s">
        <v>287</v>
      </c>
      <c r="BW748" s="62">
        <v>38429</v>
      </c>
      <c r="BX748">
        <v>10928</v>
      </c>
      <c r="BY748">
        <v>137.5</v>
      </c>
    </row>
    <row r="749" spans="49:77" x14ac:dyDescent="0.3">
      <c r="AW749" t="s">
        <v>8</v>
      </c>
      <c r="AX749" t="s">
        <v>14</v>
      </c>
      <c r="AY749" s="62">
        <v>38106</v>
      </c>
      <c r="AZ749">
        <v>10509</v>
      </c>
      <c r="BA749">
        <v>136.80000000000001</v>
      </c>
      <c r="BU749" t="s">
        <v>8</v>
      </c>
      <c r="BV749" t="s">
        <v>14</v>
      </c>
      <c r="BW749" s="62">
        <v>38106</v>
      </c>
      <c r="BX749">
        <v>10509</v>
      </c>
      <c r="BY749">
        <v>136.80000000000001</v>
      </c>
    </row>
    <row r="750" spans="49:77" x14ac:dyDescent="0.3">
      <c r="AW750" t="s">
        <v>8</v>
      </c>
      <c r="AX750" t="s">
        <v>15</v>
      </c>
      <c r="AY750" s="62">
        <v>37943</v>
      </c>
      <c r="AZ750">
        <v>10352</v>
      </c>
      <c r="BA750">
        <v>136.30000000000001</v>
      </c>
      <c r="BU750" t="s">
        <v>8</v>
      </c>
      <c r="BV750" t="s">
        <v>15</v>
      </c>
      <c r="BW750" s="62">
        <v>37943</v>
      </c>
      <c r="BX750">
        <v>10352</v>
      </c>
      <c r="BY750">
        <v>136.30000000000001</v>
      </c>
    </row>
    <row r="751" spans="49:77" x14ac:dyDescent="0.3">
      <c r="AW751" t="s">
        <v>8</v>
      </c>
      <c r="AX751" t="s">
        <v>289</v>
      </c>
      <c r="AY751" s="62">
        <v>37985</v>
      </c>
      <c r="AZ751">
        <v>10366</v>
      </c>
      <c r="BA751">
        <v>136</v>
      </c>
      <c r="BU751" t="s">
        <v>8</v>
      </c>
      <c r="BV751" t="s">
        <v>289</v>
      </c>
      <c r="BW751" s="62">
        <v>37985</v>
      </c>
      <c r="BX751">
        <v>10366</v>
      </c>
      <c r="BY751">
        <v>136</v>
      </c>
    </row>
    <row r="752" spans="49:77" x14ac:dyDescent="0.3">
      <c r="AW752" t="s">
        <v>7</v>
      </c>
      <c r="AX752" t="s">
        <v>13</v>
      </c>
      <c r="AY752" s="62">
        <v>38434</v>
      </c>
      <c r="AZ752">
        <v>10959</v>
      </c>
      <c r="BA752">
        <v>131.75</v>
      </c>
      <c r="BU752" t="s">
        <v>7</v>
      </c>
      <c r="BV752" t="s">
        <v>13</v>
      </c>
      <c r="BW752" s="62">
        <v>38434</v>
      </c>
      <c r="BX752">
        <v>10959</v>
      </c>
      <c r="BY752">
        <v>131.75</v>
      </c>
    </row>
    <row r="753" spans="49:77" x14ac:dyDescent="0.3">
      <c r="AW753" t="s">
        <v>8</v>
      </c>
      <c r="AX753" t="s">
        <v>15</v>
      </c>
      <c r="AY753" s="62">
        <v>38248</v>
      </c>
      <c r="AZ753">
        <v>10662</v>
      </c>
      <c r="BA753">
        <v>125</v>
      </c>
      <c r="BU753" t="s">
        <v>8</v>
      </c>
      <c r="BV753" t="s">
        <v>15</v>
      </c>
      <c r="BW753" s="62">
        <v>38248</v>
      </c>
      <c r="BX753">
        <v>10662</v>
      </c>
      <c r="BY753">
        <v>125</v>
      </c>
    </row>
    <row r="754" spans="49:77" x14ac:dyDescent="0.3">
      <c r="AW754" t="s">
        <v>7</v>
      </c>
      <c r="AX754" t="s">
        <v>17</v>
      </c>
      <c r="AY754" s="62">
        <v>38409</v>
      </c>
      <c r="AZ754">
        <v>10899</v>
      </c>
      <c r="BA754">
        <v>122.4</v>
      </c>
      <c r="BU754" t="s">
        <v>7</v>
      </c>
      <c r="BV754" t="s">
        <v>17</v>
      </c>
      <c r="BW754" s="62">
        <v>38409</v>
      </c>
      <c r="BX754">
        <v>10899</v>
      </c>
      <c r="BY754">
        <v>122.4</v>
      </c>
    </row>
    <row r="755" spans="49:77" x14ac:dyDescent="0.3">
      <c r="AW755" t="s">
        <v>8</v>
      </c>
      <c r="AX755" t="s">
        <v>18</v>
      </c>
      <c r="AY755" s="62">
        <v>37874</v>
      </c>
      <c r="AZ755">
        <v>10295</v>
      </c>
      <c r="BA755">
        <v>121.6</v>
      </c>
      <c r="BU755" t="s">
        <v>8</v>
      </c>
      <c r="BV755" t="s">
        <v>18</v>
      </c>
      <c r="BW755" s="62">
        <v>37874</v>
      </c>
      <c r="BX755">
        <v>10295</v>
      </c>
      <c r="BY755">
        <v>121.6</v>
      </c>
    </row>
    <row r="756" spans="49:77" x14ac:dyDescent="0.3">
      <c r="AW756" t="s">
        <v>8</v>
      </c>
      <c r="AX756" t="s">
        <v>18</v>
      </c>
      <c r="AY756" s="62">
        <v>38205</v>
      </c>
      <c r="AZ756">
        <v>10615</v>
      </c>
      <c r="BA756">
        <v>120</v>
      </c>
      <c r="BU756" t="s">
        <v>8</v>
      </c>
      <c r="BV756" t="s">
        <v>18</v>
      </c>
      <c r="BW756" s="62">
        <v>38205</v>
      </c>
      <c r="BX756">
        <v>10615</v>
      </c>
      <c r="BY756">
        <v>120</v>
      </c>
    </row>
    <row r="757" spans="49:77" x14ac:dyDescent="0.3">
      <c r="AW757" t="s">
        <v>8</v>
      </c>
      <c r="AX757" t="s">
        <v>15</v>
      </c>
      <c r="AY757" s="62">
        <v>38273</v>
      </c>
      <c r="AZ757">
        <v>10699</v>
      </c>
      <c r="BA757">
        <v>114</v>
      </c>
      <c r="BU757" t="s">
        <v>8</v>
      </c>
      <c r="BV757" t="s">
        <v>15</v>
      </c>
      <c r="BW757" s="62">
        <v>38273</v>
      </c>
      <c r="BX757">
        <v>10699</v>
      </c>
      <c r="BY757">
        <v>114</v>
      </c>
    </row>
    <row r="758" spans="49:77" x14ac:dyDescent="0.3">
      <c r="AW758" t="s">
        <v>8</v>
      </c>
      <c r="AX758" t="s">
        <v>15</v>
      </c>
      <c r="AY758" s="62">
        <v>37968</v>
      </c>
      <c r="AZ758">
        <v>10381</v>
      </c>
      <c r="BA758">
        <v>112</v>
      </c>
      <c r="BU758" t="s">
        <v>8</v>
      </c>
      <c r="BV758" t="s">
        <v>15</v>
      </c>
      <c r="BW758" s="62">
        <v>37968</v>
      </c>
      <c r="BX758">
        <v>10381</v>
      </c>
      <c r="BY758">
        <v>112</v>
      </c>
    </row>
    <row r="759" spans="49:77" x14ac:dyDescent="0.3">
      <c r="AW759" t="s">
        <v>7</v>
      </c>
      <c r="AX759" t="s">
        <v>288</v>
      </c>
      <c r="AY759" s="62">
        <v>37917</v>
      </c>
      <c r="AZ759">
        <v>10322</v>
      </c>
      <c r="BA759">
        <v>112</v>
      </c>
      <c r="BU759" t="s">
        <v>7</v>
      </c>
      <c r="BV759" t="s">
        <v>288</v>
      </c>
      <c r="BW759" s="62">
        <v>37917</v>
      </c>
      <c r="BX759">
        <v>10322</v>
      </c>
      <c r="BY759">
        <v>112</v>
      </c>
    </row>
    <row r="760" spans="49:77" x14ac:dyDescent="0.3">
      <c r="AW760" t="s">
        <v>8</v>
      </c>
      <c r="AX760" t="s">
        <v>287</v>
      </c>
      <c r="AY760" s="62">
        <v>38434</v>
      </c>
      <c r="AZ760">
        <v>10950</v>
      </c>
      <c r="BA760">
        <v>110</v>
      </c>
      <c r="BU760" t="s">
        <v>8</v>
      </c>
      <c r="BV760" t="s">
        <v>287</v>
      </c>
      <c r="BW760" s="62">
        <v>38434</v>
      </c>
      <c r="BX760">
        <v>10950</v>
      </c>
      <c r="BY760">
        <v>110</v>
      </c>
    </row>
    <row r="761" spans="49:77" x14ac:dyDescent="0.3">
      <c r="AW761" t="s">
        <v>7</v>
      </c>
      <c r="AX761" t="s">
        <v>288</v>
      </c>
      <c r="AY761" s="62">
        <v>38126</v>
      </c>
      <c r="AZ761">
        <v>10531</v>
      </c>
      <c r="BA761">
        <v>110</v>
      </c>
      <c r="BU761" t="s">
        <v>7</v>
      </c>
      <c r="BV761" t="s">
        <v>288</v>
      </c>
      <c r="BW761" s="62">
        <v>38126</v>
      </c>
      <c r="BX761">
        <v>10531</v>
      </c>
      <c r="BY761">
        <v>110</v>
      </c>
    </row>
    <row r="762" spans="49:77" x14ac:dyDescent="0.3">
      <c r="AW762" t="s">
        <v>7</v>
      </c>
      <c r="AX762" t="s">
        <v>13</v>
      </c>
      <c r="AY762" s="62">
        <v>38410</v>
      </c>
      <c r="AZ762">
        <v>10907</v>
      </c>
      <c r="BA762">
        <v>108.5</v>
      </c>
      <c r="BU762" t="s">
        <v>7</v>
      </c>
      <c r="BV762" t="s">
        <v>13</v>
      </c>
      <c r="BW762" s="62">
        <v>38410</v>
      </c>
      <c r="BX762">
        <v>10907</v>
      </c>
      <c r="BY762">
        <v>108.5</v>
      </c>
    </row>
    <row r="763" spans="49:77" x14ac:dyDescent="0.3">
      <c r="AW763" t="s">
        <v>8</v>
      </c>
      <c r="AX763" t="s">
        <v>287</v>
      </c>
      <c r="AY763" s="62">
        <v>38441</v>
      </c>
      <c r="AZ763">
        <v>10969</v>
      </c>
      <c r="BA763">
        <v>108</v>
      </c>
      <c r="BU763" t="s">
        <v>8</v>
      </c>
      <c r="BV763" t="s">
        <v>287</v>
      </c>
      <c r="BW763" s="62">
        <v>38441</v>
      </c>
      <c r="BX763">
        <v>10969</v>
      </c>
      <c r="BY763">
        <v>108</v>
      </c>
    </row>
    <row r="764" spans="49:77" x14ac:dyDescent="0.3">
      <c r="AW764" t="s">
        <v>7</v>
      </c>
      <c r="AX764" t="s">
        <v>17</v>
      </c>
      <c r="AY764" s="62">
        <v>37974</v>
      </c>
      <c r="AZ764">
        <v>10378</v>
      </c>
      <c r="BA764">
        <v>103.2</v>
      </c>
      <c r="BU764" t="s">
        <v>7</v>
      </c>
      <c r="BV764" t="s">
        <v>17</v>
      </c>
      <c r="BW764" s="62">
        <v>37974</v>
      </c>
      <c r="BX764">
        <v>10378</v>
      </c>
      <c r="BY764">
        <v>103.2</v>
      </c>
    </row>
    <row r="765" spans="49:77" x14ac:dyDescent="0.3">
      <c r="AW765" t="s">
        <v>8</v>
      </c>
      <c r="AX765" t="s">
        <v>15</v>
      </c>
      <c r="AY765" s="62">
        <v>38010</v>
      </c>
      <c r="AZ765">
        <v>10415</v>
      </c>
      <c r="BA765">
        <v>102.4</v>
      </c>
      <c r="BU765" t="s">
        <v>8</v>
      </c>
      <c r="BV765" t="s">
        <v>15</v>
      </c>
      <c r="BW765" s="62">
        <v>38010</v>
      </c>
      <c r="BX765">
        <v>10415</v>
      </c>
      <c r="BY765">
        <v>102.4</v>
      </c>
    </row>
    <row r="766" spans="49:77" x14ac:dyDescent="0.3">
      <c r="AW766" t="s">
        <v>8</v>
      </c>
      <c r="AX766" t="s">
        <v>14</v>
      </c>
      <c r="AY766" s="62">
        <v>37827</v>
      </c>
      <c r="AZ766">
        <v>10259</v>
      </c>
      <c r="BA766">
        <v>100.8</v>
      </c>
      <c r="BU766" t="s">
        <v>8</v>
      </c>
      <c r="BV766" t="s">
        <v>14</v>
      </c>
      <c r="BW766" s="62">
        <v>37827</v>
      </c>
      <c r="BX766">
        <v>10259</v>
      </c>
      <c r="BY766">
        <v>100.8</v>
      </c>
    </row>
    <row r="767" spans="49:77" x14ac:dyDescent="0.3">
      <c r="AW767" t="s">
        <v>7</v>
      </c>
      <c r="AX767" t="s">
        <v>13</v>
      </c>
      <c r="AY767" s="62">
        <v>38394</v>
      </c>
      <c r="AZ767">
        <v>10867</v>
      </c>
      <c r="BA767">
        <v>98.4</v>
      </c>
      <c r="BU767" t="s">
        <v>7</v>
      </c>
      <c r="BV767" t="s">
        <v>13</v>
      </c>
      <c r="BW767" s="62">
        <v>38394</v>
      </c>
      <c r="BX767">
        <v>10867</v>
      </c>
      <c r="BY767">
        <v>98.4</v>
      </c>
    </row>
    <row r="768" spans="49:77" x14ac:dyDescent="0.3">
      <c r="AW768" t="s">
        <v>8</v>
      </c>
      <c r="AX768" t="s">
        <v>15</v>
      </c>
      <c r="AY768" s="62">
        <v>38345</v>
      </c>
      <c r="AZ768">
        <v>10778</v>
      </c>
      <c r="BA768">
        <v>96.5</v>
      </c>
      <c r="BU768" t="s">
        <v>8</v>
      </c>
      <c r="BV768" t="s">
        <v>15</v>
      </c>
      <c r="BW768" s="62">
        <v>38345</v>
      </c>
      <c r="BX768">
        <v>10778</v>
      </c>
      <c r="BY768">
        <v>96.5</v>
      </c>
    </row>
    <row r="769" spans="49:77" x14ac:dyDescent="0.3">
      <c r="AW769" t="s">
        <v>8</v>
      </c>
      <c r="AX769" t="s">
        <v>287</v>
      </c>
      <c r="AY769" s="62">
        <v>38283</v>
      </c>
      <c r="AZ769">
        <v>10710</v>
      </c>
      <c r="BA769">
        <v>93.5</v>
      </c>
      <c r="BU769" t="s">
        <v>8</v>
      </c>
      <c r="BV769" t="s">
        <v>287</v>
      </c>
      <c r="BW769" s="62">
        <v>38283</v>
      </c>
      <c r="BX769">
        <v>10710</v>
      </c>
      <c r="BY769">
        <v>93.5</v>
      </c>
    </row>
    <row r="770" spans="49:77" x14ac:dyDescent="0.3">
      <c r="AW770" t="s">
        <v>7</v>
      </c>
      <c r="AX770" t="s">
        <v>288</v>
      </c>
      <c r="AY770" s="62">
        <v>37888</v>
      </c>
      <c r="AZ770">
        <v>10308</v>
      </c>
      <c r="BA770">
        <v>88.8</v>
      </c>
      <c r="BU770" t="s">
        <v>7</v>
      </c>
      <c r="BV770" t="s">
        <v>288</v>
      </c>
      <c r="BW770" s="62">
        <v>37888</v>
      </c>
      <c r="BX770">
        <v>10308</v>
      </c>
      <c r="BY770">
        <v>88.8</v>
      </c>
    </row>
    <row r="771" spans="49:77" x14ac:dyDescent="0.3">
      <c r="AW771" t="s">
        <v>7</v>
      </c>
      <c r="AX771" t="s">
        <v>16</v>
      </c>
      <c r="AY771" s="62">
        <v>37915</v>
      </c>
      <c r="AZ771">
        <v>10331</v>
      </c>
      <c r="BA771">
        <v>88.5</v>
      </c>
      <c r="BU771" t="s">
        <v>7</v>
      </c>
      <c r="BV771" t="s">
        <v>16</v>
      </c>
      <c r="BW771" s="62">
        <v>37915</v>
      </c>
      <c r="BX771">
        <v>10331</v>
      </c>
      <c r="BY771">
        <v>88.5</v>
      </c>
    </row>
    <row r="772" spans="49:77" x14ac:dyDescent="0.3">
      <c r="AW772" t="s">
        <v>8</v>
      </c>
      <c r="AX772" t="s">
        <v>15</v>
      </c>
      <c r="AY772" s="62">
        <v>38318</v>
      </c>
      <c r="AZ772">
        <v>10753</v>
      </c>
      <c r="BA772">
        <v>88</v>
      </c>
      <c r="BU772" t="s">
        <v>8</v>
      </c>
      <c r="BV772" t="s">
        <v>15</v>
      </c>
      <c r="BW772" s="62">
        <v>38318</v>
      </c>
      <c r="BX772">
        <v>10753</v>
      </c>
      <c r="BY772">
        <v>88</v>
      </c>
    </row>
    <row r="773" spans="49:77" x14ac:dyDescent="0.3">
      <c r="AW773" t="s">
        <v>8</v>
      </c>
      <c r="AX773" t="s">
        <v>14</v>
      </c>
      <c r="AY773" s="62">
        <v>37854</v>
      </c>
      <c r="AZ773">
        <v>10281</v>
      </c>
      <c r="BA773">
        <v>86.5</v>
      </c>
      <c r="BU773" t="s">
        <v>8</v>
      </c>
      <c r="BV773" t="s">
        <v>14</v>
      </c>
      <c r="BW773" s="62">
        <v>37854</v>
      </c>
      <c r="BX773">
        <v>10281</v>
      </c>
      <c r="BY773">
        <v>86.5</v>
      </c>
    </row>
    <row r="774" spans="49:77" x14ac:dyDescent="0.3">
      <c r="AW774" t="s">
        <v>8</v>
      </c>
      <c r="AX774" t="s">
        <v>15</v>
      </c>
      <c r="AY774" s="62">
        <v>37986</v>
      </c>
      <c r="AZ774">
        <v>10391</v>
      </c>
      <c r="BA774">
        <v>86.4</v>
      </c>
      <c r="BU774" t="s">
        <v>8</v>
      </c>
      <c r="BV774" t="s">
        <v>15</v>
      </c>
      <c r="BW774" s="62">
        <v>37986</v>
      </c>
      <c r="BX774">
        <v>10391</v>
      </c>
      <c r="BY774">
        <v>86.4</v>
      </c>
    </row>
    <row r="775" spans="49:77" x14ac:dyDescent="0.3">
      <c r="AW775" t="s">
        <v>8</v>
      </c>
      <c r="AX775" t="s">
        <v>14</v>
      </c>
      <c r="AY775" s="62">
        <v>37867</v>
      </c>
      <c r="AZ775">
        <v>10288</v>
      </c>
      <c r="BA775">
        <v>80.099999999999994</v>
      </c>
      <c r="BU775" t="s">
        <v>8</v>
      </c>
      <c r="BV775" t="s">
        <v>14</v>
      </c>
      <c r="BW775" s="62">
        <v>37867</v>
      </c>
      <c r="BX775">
        <v>10288</v>
      </c>
      <c r="BY775">
        <v>80.099999999999994</v>
      </c>
    </row>
    <row r="776" spans="49:77" x14ac:dyDescent="0.3">
      <c r="AW776" t="s">
        <v>8</v>
      </c>
      <c r="AX776" t="s">
        <v>289</v>
      </c>
      <c r="AY776" s="62">
        <v>38431</v>
      </c>
      <c r="AZ776">
        <v>10955</v>
      </c>
      <c r="BA776">
        <v>74.400000000000006</v>
      </c>
      <c r="BU776" t="s">
        <v>8</v>
      </c>
      <c r="BV776" t="s">
        <v>289</v>
      </c>
      <c r="BW776" s="62">
        <v>38431</v>
      </c>
      <c r="BX776">
        <v>10955</v>
      </c>
      <c r="BY776">
        <v>74.400000000000006</v>
      </c>
    </row>
    <row r="777" spans="49:77" x14ac:dyDescent="0.3">
      <c r="AW777" t="s">
        <v>8</v>
      </c>
      <c r="AX777" t="s">
        <v>287</v>
      </c>
      <c r="AY777" s="62">
        <v>37979</v>
      </c>
      <c r="AZ777">
        <v>10371</v>
      </c>
      <c r="BA777">
        <v>72.959999999999994</v>
      </c>
      <c r="BU777" t="s">
        <v>8</v>
      </c>
      <c r="BV777" t="s">
        <v>287</v>
      </c>
      <c r="BW777" s="62">
        <v>37979</v>
      </c>
      <c r="BX777">
        <v>10371</v>
      </c>
      <c r="BY777">
        <v>72.959999999999994</v>
      </c>
    </row>
    <row r="778" spans="49:77" x14ac:dyDescent="0.3">
      <c r="AW778" t="s">
        <v>8</v>
      </c>
      <c r="AX778" t="s">
        <v>289</v>
      </c>
      <c r="AY778" s="62">
        <v>38182</v>
      </c>
      <c r="AZ778">
        <v>10589</v>
      </c>
      <c r="BA778">
        <v>72</v>
      </c>
      <c r="BU778" t="s">
        <v>8</v>
      </c>
      <c r="BV778" t="s">
        <v>289</v>
      </c>
      <c r="BW778" s="62">
        <v>38182</v>
      </c>
      <c r="BX778">
        <v>10589</v>
      </c>
      <c r="BY778">
        <v>72</v>
      </c>
    </row>
    <row r="779" spans="49:77" x14ac:dyDescent="0.3">
      <c r="AW779" t="s">
        <v>8</v>
      </c>
      <c r="AX779" t="s">
        <v>289</v>
      </c>
      <c r="AY779" s="62">
        <v>38399</v>
      </c>
      <c r="AZ779">
        <v>10887</v>
      </c>
      <c r="BA779">
        <v>70</v>
      </c>
      <c r="BU779" t="s">
        <v>8</v>
      </c>
      <c r="BV779" t="s">
        <v>289</v>
      </c>
      <c r="BW779" s="62">
        <v>38399</v>
      </c>
      <c r="BX779">
        <v>10887</v>
      </c>
      <c r="BY779">
        <v>70</v>
      </c>
    </row>
    <row r="780" spans="49:77" x14ac:dyDescent="0.3">
      <c r="AW780" t="s">
        <v>8</v>
      </c>
      <c r="AX780" t="s">
        <v>287</v>
      </c>
      <c r="AY780" s="62">
        <v>38445</v>
      </c>
      <c r="AZ780">
        <v>10992</v>
      </c>
      <c r="BA780">
        <v>69.599999999999994</v>
      </c>
      <c r="BU780" t="s">
        <v>8</v>
      </c>
      <c r="BV780" t="s">
        <v>287</v>
      </c>
      <c r="BW780" s="62">
        <v>38445</v>
      </c>
      <c r="BX780">
        <v>10992</v>
      </c>
      <c r="BY780">
        <v>69.599999999999994</v>
      </c>
    </row>
    <row r="781" spans="49:77" x14ac:dyDescent="0.3">
      <c r="AW781" t="s">
        <v>8</v>
      </c>
      <c r="AX781" t="s">
        <v>18</v>
      </c>
      <c r="AY781" s="62">
        <v>38261</v>
      </c>
      <c r="AZ781">
        <v>10683</v>
      </c>
      <c r="BA781">
        <v>63</v>
      </c>
      <c r="BU781" t="s">
        <v>8</v>
      </c>
      <c r="BV781" t="s">
        <v>18</v>
      </c>
      <c r="BW781" s="62">
        <v>38261</v>
      </c>
      <c r="BX781">
        <v>10683</v>
      </c>
      <c r="BY781">
        <v>63</v>
      </c>
    </row>
    <row r="782" spans="49:77" x14ac:dyDescent="0.3">
      <c r="AW782" t="s">
        <v>7</v>
      </c>
      <c r="AX782" t="s">
        <v>288</v>
      </c>
      <c r="AY782" s="62">
        <v>38469</v>
      </c>
      <c r="AZ782">
        <v>11037</v>
      </c>
      <c r="BA782">
        <v>60</v>
      </c>
      <c r="BU782" t="s">
        <v>7</v>
      </c>
      <c r="BV782" t="s">
        <v>288</v>
      </c>
      <c r="BW782" s="62">
        <v>38469</v>
      </c>
      <c r="BX782">
        <v>11037</v>
      </c>
      <c r="BY782">
        <v>60</v>
      </c>
    </row>
    <row r="783" spans="49:77" x14ac:dyDescent="0.3">
      <c r="AW783" t="s">
        <v>7</v>
      </c>
      <c r="AX783" t="s">
        <v>16</v>
      </c>
      <c r="AY783" s="62">
        <v>38437</v>
      </c>
      <c r="AZ783">
        <v>10963</v>
      </c>
      <c r="BA783">
        <v>57.8</v>
      </c>
      <c r="BU783" t="s">
        <v>7</v>
      </c>
      <c r="BV783" t="s">
        <v>16</v>
      </c>
      <c r="BW783" s="62">
        <v>38437</v>
      </c>
      <c r="BX783">
        <v>10963</v>
      </c>
      <c r="BY783">
        <v>57.8</v>
      </c>
    </row>
    <row r="784" spans="49:77" x14ac:dyDescent="0.3">
      <c r="AW784" t="s">
        <v>8</v>
      </c>
      <c r="AX784" t="s">
        <v>18</v>
      </c>
      <c r="AY784" s="62">
        <v>38213</v>
      </c>
      <c r="AZ784">
        <v>10620</v>
      </c>
      <c r="BA784">
        <v>57.5</v>
      </c>
      <c r="BU784" t="s">
        <v>8</v>
      </c>
      <c r="BV784" t="s">
        <v>18</v>
      </c>
      <c r="BW784" s="62">
        <v>38213</v>
      </c>
      <c r="BX784">
        <v>10620</v>
      </c>
      <c r="BY784">
        <v>57.5</v>
      </c>
    </row>
    <row r="785" spans="49:77" x14ac:dyDescent="0.3">
      <c r="AW785" t="s">
        <v>8</v>
      </c>
      <c r="AX785" t="s">
        <v>289</v>
      </c>
      <c r="AY785" s="62">
        <v>38214</v>
      </c>
      <c r="AZ785">
        <v>10631</v>
      </c>
      <c r="BA785">
        <v>55.8</v>
      </c>
      <c r="BU785" t="s">
        <v>8</v>
      </c>
      <c r="BV785" t="s">
        <v>289</v>
      </c>
      <c r="BW785" s="62">
        <v>38214</v>
      </c>
      <c r="BX785">
        <v>10631</v>
      </c>
      <c r="BY785">
        <v>55.8</v>
      </c>
    </row>
    <row r="786" spans="49:77" x14ac:dyDescent="0.3">
      <c r="AW786" t="s">
        <v>7</v>
      </c>
      <c r="AX786" t="s">
        <v>13</v>
      </c>
      <c r="AY786" s="62">
        <v>38318</v>
      </c>
      <c r="AZ786">
        <v>10754</v>
      </c>
      <c r="BA786">
        <v>55.2</v>
      </c>
      <c r="BU786" t="s">
        <v>7</v>
      </c>
      <c r="BV786" t="s">
        <v>13</v>
      </c>
      <c r="BW786" s="62">
        <v>38318</v>
      </c>
      <c r="BX786">
        <v>10754</v>
      </c>
      <c r="BY786">
        <v>55.2</v>
      </c>
    </row>
    <row r="787" spans="49:77" x14ac:dyDescent="0.3">
      <c r="AW787" t="s">
        <v>8</v>
      </c>
      <c r="AX787" t="s">
        <v>18</v>
      </c>
      <c r="AY787" s="62">
        <v>38309</v>
      </c>
      <c r="AZ787">
        <v>10738</v>
      </c>
      <c r="BA787">
        <v>52.35</v>
      </c>
      <c r="BU787" t="s">
        <v>8</v>
      </c>
      <c r="BV787" t="s">
        <v>18</v>
      </c>
      <c r="BW787" s="62">
        <v>38309</v>
      </c>
      <c r="BX787">
        <v>10738</v>
      </c>
      <c r="BY787">
        <v>52.35</v>
      </c>
    </row>
    <row r="788" spans="49:77" x14ac:dyDescent="0.3">
      <c r="AW788" t="s">
        <v>8</v>
      </c>
      <c r="AX788" t="s">
        <v>18</v>
      </c>
      <c r="AY788" s="62">
        <v>38017</v>
      </c>
      <c r="AZ788">
        <v>10422</v>
      </c>
      <c r="BA788">
        <v>49.8</v>
      </c>
      <c r="BU788" t="s">
        <v>8</v>
      </c>
      <c r="BV788" t="s">
        <v>18</v>
      </c>
      <c r="BW788" s="62">
        <v>38017</v>
      </c>
      <c r="BX788">
        <v>10422</v>
      </c>
      <c r="BY788">
        <v>49.8</v>
      </c>
    </row>
    <row r="789" spans="49:77" x14ac:dyDescent="0.3">
      <c r="AW789" t="s">
        <v>8</v>
      </c>
      <c r="AX789" t="s">
        <v>289</v>
      </c>
      <c r="AY789" s="62">
        <v>38190</v>
      </c>
      <c r="AZ789">
        <v>10602</v>
      </c>
      <c r="BA789">
        <v>48.75</v>
      </c>
      <c r="BU789" t="s">
        <v>8</v>
      </c>
      <c r="BV789" t="s">
        <v>289</v>
      </c>
      <c r="BW789" s="62">
        <v>38190</v>
      </c>
      <c r="BX789">
        <v>10602</v>
      </c>
      <c r="BY789">
        <v>48.75</v>
      </c>
    </row>
    <row r="790" spans="49:77" x14ac:dyDescent="0.3">
      <c r="AW790" t="s">
        <v>7</v>
      </c>
      <c r="AX790" t="s">
        <v>13</v>
      </c>
      <c r="AY790" s="62">
        <v>37863</v>
      </c>
      <c r="AZ790">
        <v>10271</v>
      </c>
      <c r="BA790">
        <v>48</v>
      </c>
      <c r="BU790" t="s">
        <v>7</v>
      </c>
      <c r="BV790" t="s">
        <v>13</v>
      </c>
      <c r="BW790" s="62">
        <v>37863</v>
      </c>
      <c r="BX790">
        <v>10271</v>
      </c>
      <c r="BY790">
        <v>48</v>
      </c>
    </row>
    <row r="791" spans="49:77" x14ac:dyDescent="0.3">
      <c r="AW791" t="s">
        <v>8</v>
      </c>
      <c r="AX791" t="s">
        <v>14</v>
      </c>
      <c r="AY791" s="62">
        <v>38260</v>
      </c>
      <c r="AZ791">
        <v>10674</v>
      </c>
      <c r="BA791">
        <v>45</v>
      </c>
      <c r="BU791" t="s">
        <v>8</v>
      </c>
      <c r="BV791" t="s">
        <v>14</v>
      </c>
      <c r="BW791" s="62">
        <v>38260</v>
      </c>
      <c r="BX791">
        <v>10674</v>
      </c>
      <c r="BY791">
        <v>45</v>
      </c>
    </row>
    <row r="792" spans="49:77" x14ac:dyDescent="0.3">
      <c r="AW792" t="s">
        <v>8</v>
      </c>
      <c r="AX792" t="s">
        <v>15</v>
      </c>
      <c r="AY792" s="62">
        <v>38473</v>
      </c>
      <c r="AZ792">
        <v>11057</v>
      </c>
      <c r="BA792">
        <v>45</v>
      </c>
      <c r="BU792" t="s">
        <v>8</v>
      </c>
      <c r="BV792" t="s">
        <v>15</v>
      </c>
      <c r="BW792" s="62">
        <v>38473</v>
      </c>
      <c r="BX792">
        <v>11057</v>
      </c>
      <c r="BY792">
        <v>45</v>
      </c>
    </row>
    <row r="793" spans="49:77" x14ac:dyDescent="0.3">
      <c r="AW793" t="s">
        <v>8</v>
      </c>
      <c r="AX793" t="s">
        <v>18</v>
      </c>
      <c r="AY793" s="62">
        <v>38366</v>
      </c>
      <c r="AZ793">
        <v>10815</v>
      </c>
      <c r="BA793">
        <v>40</v>
      </c>
      <c r="BU793" t="s">
        <v>8</v>
      </c>
      <c r="BV793" t="s">
        <v>18</v>
      </c>
      <c r="BW793" s="62">
        <v>38366</v>
      </c>
      <c r="BX793">
        <v>10815</v>
      </c>
      <c r="BY793">
        <v>40</v>
      </c>
    </row>
    <row r="794" spans="49:77" x14ac:dyDescent="0.3">
      <c r="AW794" t="s">
        <v>8</v>
      </c>
      <c r="AX794" t="s">
        <v>289</v>
      </c>
      <c r="AY794" s="62">
        <v>38403</v>
      </c>
      <c r="AZ794">
        <v>10883</v>
      </c>
      <c r="BA794">
        <v>36</v>
      </c>
      <c r="BU794" t="s">
        <v>8</v>
      </c>
      <c r="BV794" t="s">
        <v>289</v>
      </c>
      <c r="BW794" s="62">
        <v>38403</v>
      </c>
      <c r="BX794">
        <v>10883</v>
      </c>
      <c r="BY794">
        <v>36</v>
      </c>
    </row>
    <row r="795" spans="49:77" x14ac:dyDescent="0.3">
      <c r="AW795" t="s">
        <v>8</v>
      </c>
      <c r="AX795" t="s">
        <v>287</v>
      </c>
      <c r="AY795" s="62">
        <v>38415</v>
      </c>
      <c r="AZ795">
        <v>10900</v>
      </c>
      <c r="BA795">
        <v>33.75</v>
      </c>
      <c r="BU795" t="s">
        <v>8</v>
      </c>
      <c r="BV795" t="s">
        <v>287</v>
      </c>
      <c r="BW795" s="62">
        <v>38415</v>
      </c>
      <c r="BX795">
        <v>10900</v>
      </c>
      <c r="BY795">
        <v>33.75</v>
      </c>
    </row>
    <row r="796" spans="49:77" x14ac:dyDescent="0.3">
      <c r="AW796" t="s">
        <v>8</v>
      </c>
      <c r="AX796" t="s">
        <v>14</v>
      </c>
      <c r="AY796" s="62">
        <v>38417</v>
      </c>
      <c r="AZ796">
        <v>10898</v>
      </c>
      <c r="BA796">
        <v>30</v>
      </c>
      <c r="BU796" t="s">
        <v>8</v>
      </c>
      <c r="BV796" t="s">
        <v>14</v>
      </c>
      <c r="BW796" s="62">
        <v>38417</v>
      </c>
      <c r="BX796">
        <v>10898</v>
      </c>
      <c r="BY796">
        <v>30</v>
      </c>
    </row>
    <row r="797" spans="49:77" x14ac:dyDescent="0.3">
      <c r="AW797" t="s">
        <v>8</v>
      </c>
      <c r="AX797" t="s">
        <v>14</v>
      </c>
      <c r="AY797" s="62">
        <v>38336</v>
      </c>
      <c r="AZ797">
        <v>10767</v>
      </c>
      <c r="BA797">
        <v>28</v>
      </c>
      <c r="BU797" t="s">
        <v>8</v>
      </c>
      <c r="BV797" t="s">
        <v>14</v>
      </c>
      <c r="BW797" s="62">
        <v>38336</v>
      </c>
      <c r="BX797">
        <v>10767</v>
      </c>
      <c r="BY797">
        <v>28</v>
      </c>
    </row>
    <row r="798" spans="49:77" x14ac:dyDescent="0.3">
      <c r="AW798" t="s">
        <v>7</v>
      </c>
      <c r="AX798" t="s">
        <v>16</v>
      </c>
      <c r="AY798" s="62">
        <v>38177</v>
      </c>
      <c r="AZ798">
        <v>10586</v>
      </c>
      <c r="BA798">
        <v>23.8</v>
      </c>
      <c r="BU798" t="s">
        <v>7</v>
      </c>
      <c r="BV798" t="s">
        <v>16</v>
      </c>
      <c r="BW798" s="62">
        <v>38177</v>
      </c>
      <c r="BX798">
        <v>10586</v>
      </c>
      <c r="BY798">
        <v>23.8</v>
      </c>
    </row>
    <row r="799" spans="49:77" x14ac:dyDescent="0.3">
      <c r="AW799" t="s">
        <v>8</v>
      </c>
      <c r="AX799" t="s">
        <v>14</v>
      </c>
      <c r="AY799" s="62">
        <v>38382</v>
      </c>
      <c r="AZ799">
        <v>10807</v>
      </c>
      <c r="BA799">
        <v>18.399999999999999</v>
      </c>
      <c r="BU799" t="s">
        <v>8</v>
      </c>
      <c r="BV799" t="s">
        <v>14</v>
      </c>
      <c r="BW799" s="62">
        <v>38382</v>
      </c>
      <c r="BX799">
        <v>10807</v>
      </c>
      <c r="BY799">
        <v>18.399999999999999</v>
      </c>
    </row>
    <row r="800" spans="49:77" x14ac:dyDescent="0.3">
      <c r="AW800" t="s">
        <v>7</v>
      </c>
      <c r="AX800" t="s">
        <v>16</v>
      </c>
      <c r="AY800" s="62">
        <v>38343</v>
      </c>
      <c r="AZ800">
        <v>10782</v>
      </c>
      <c r="BA800">
        <v>12.5</v>
      </c>
      <c r="BU800" t="s">
        <v>7</v>
      </c>
      <c r="BV800" t="s">
        <v>16</v>
      </c>
      <c r="BW800" s="62">
        <v>38343</v>
      </c>
      <c r="BX800">
        <v>10782</v>
      </c>
      <c r="BY800">
        <v>12.5</v>
      </c>
    </row>
  </sheetData>
  <autoFilter ref="AW1:BA800" xr:uid="{1ADAB859-C03D-4C8C-A904-CADD136894AA}"/>
  <customSheetViews>
    <customSheetView guid="{A27D5E1E-B06B-4AE2-9D20-CB87A5C74206}" scale="85" showGridLines="0" hiddenColumns="1">
      <pageMargins left="0.7" right="0.7" top="0.75" bottom="0.75" header="0.3" footer="0.3"/>
    </customSheetView>
  </customSheetViews>
  <mergeCells count="10">
    <mergeCell ref="EI5:EK5"/>
    <mergeCell ref="EI6:EK6"/>
    <mergeCell ref="EI7:EK7"/>
    <mergeCell ref="EI8:EK8"/>
    <mergeCell ref="EI9:EK9"/>
    <mergeCell ref="AQ1:AQ2"/>
    <mergeCell ref="AR1:AT1"/>
    <mergeCell ref="EC3:EE4"/>
    <mergeCell ref="EI3:EK3"/>
    <mergeCell ref="EI4:EK4"/>
  </mergeCells>
  <dataValidations disablePrompts="1" count="2">
    <dataValidation type="list" allowBlank="1" showInputMessage="1" showErrorMessage="1" sqref="AG2" xr:uid="{00000000-0002-0000-0A00-000000000000}">
      <formula1>"1,2,3,4,5,6,7,8,9,10,11,12"</formula1>
    </dataValidation>
    <dataValidation type="list" allowBlank="1" showInputMessage="1" showErrorMessage="1" sqref="AH2" xr:uid="{00000000-0002-0000-0A00-000001000000}">
      <formula1>$AF$2:$AF$9</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Home</vt:lpstr>
      <vt:lpstr>Array Functions</vt:lpstr>
      <vt:lpstr>Database Functions</vt:lpstr>
      <vt:lpstr>Year,Month&amp;Day</vt:lpstr>
      <vt:lpstr>Hour,Minute and Second</vt:lpstr>
      <vt:lpstr>Date &amp; Time</vt:lpstr>
      <vt:lpstr>Weekday</vt:lpstr>
      <vt:lpstr>WeekNum</vt:lpstr>
      <vt:lpstr>Networkdays</vt:lpstr>
      <vt:lpstr>Today &amp; Now</vt:lpstr>
      <vt:lpstr>Validation</vt:lpstr>
      <vt:lpstr>Working</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Gupta</dc:creator>
  <cp:lastModifiedBy>Payal Verma</cp:lastModifiedBy>
  <dcterms:created xsi:type="dcterms:W3CDTF">2014-06-06T22:18:33Z</dcterms:created>
  <dcterms:modified xsi:type="dcterms:W3CDTF">2026-06-16T05:23:15Z</dcterms:modified>
</cp:coreProperties>
</file>